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4"/>
  </bookViews>
  <sheets>
    <sheet name="EXC1" sheetId="1" r:id="rId1"/>
    <sheet name="EXC2" sheetId="4" r:id="rId2"/>
    <sheet name="Explanation" sheetId="2" r:id="rId3"/>
    <sheet name="Assignment" sheetId="3" r:id="rId4"/>
    <sheet name="Sheet1" sheetId="5" r:id="rId5"/>
  </sheets>
  <definedNames>
    <definedName name="_xlnm._FilterDatabase" localSheetId="4" hidden="1">Sheet1!$A$1:$L$20</definedName>
    <definedName name="Hours">'EXC2'!$D$6:$D$16</definedName>
    <definedName name="Overtime">'EXC2'!$I$7</definedName>
    <definedName name="Rate">'EXC2'!$E$6:$E$16</definedName>
    <definedName name="Standard">'EXC2'!$H$7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<sst xmlns="http://schemas.openxmlformats.org/spreadsheetml/2006/main" count="262" uniqueCount="119">
  <si>
    <t>Student Name</t>
  </si>
  <si>
    <t>Excel</t>
  </si>
  <si>
    <t>SQL</t>
  </si>
  <si>
    <t>Python</t>
  </si>
  <si>
    <t>Power BI</t>
  </si>
  <si>
    <t>ML</t>
  </si>
  <si>
    <t>Total</t>
  </si>
  <si>
    <t>Max</t>
  </si>
  <si>
    <t>Min</t>
  </si>
  <si>
    <t>Average</t>
  </si>
  <si>
    <t>Percentage</t>
  </si>
  <si>
    <t>Pass/Fail</t>
  </si>
  <si>
    <t xml:space="preserve">Grades </t>
  </si>
  <si>
    <t>Shital Yadav</t>
  </si>
  <si>
    <t>&gt;85</t>
  </si>
  <si>
    <t>A</t>
  </si>
  <si>
    <t>Hiren Thakur</t>
  </si>
  <si>
    <t>&gt;75</t>
  </si>
  <si>
    <t>B</t>
  </si>
  <si>
    <t>Jinal Shah</t>
  </si>
  <si>
    <t>&gt;65</t>
  </si>
  <si>
    <t>C</t>
  </si>
  <si>
    <t>Ketan Roy</t>
  </si>
  <si>
    <t>&gt;50</t>
  </si>
  <si>
    <t>D</t>
  </si>
  <si>
    <t>George Dcruz</t>
  </si>
  <si>
    <t>&lt;50</t>
  </si>
  <si>
    <t>E</t>
  </si>
  <si>
    <t>Fatima Khan</t>
  </si>
  <si>
    <t>Saheli Gupta</t>
  </si>
  <si>
    <t>Piyu Gupta</t>
  </si>
  <si>
    <t>Damini Lal</t>
  </si>
  <si>
    <t>Bob the Builder - Charge Sheet</t>
  </si>
  <si>
    <t>Item</t>
  </si>
  <si>
    <t>Hours</t>
  </si>
  <si>
    <t>Rate</t>
  </si>
  <si>
    <t>Rates</t>
  </si>
  <si>
    <t>Removing old plaster</t>
  </si>
  <si>
    <t>Standard</t>
  </si>
  <si>
    <t>Overtime</t>
  </si>
  <si>
    <t>Brew time</t>
  </si>
  <si>
    <t>Preparing walls</t>
  </si>
  <si>
    <t>Plastering walls</t>
  </si>
  <si>
    <t>Accidentally knocking off some new plaster</t>
  </si>
  <si>
    <t>Replastering bits knocked off</t>
  </si>
  <si>
    <t>Skimming</t>
  </si>
  <si>
    <t>Clear up</t>
  </si>
  <si>
    <t>Labour total</t>
  </si>
  <si>
    <t>if formula = IF(K2&gt;35%,"Pass","Fail")</t>
  </si>
  <si>
    <t>on Pass/Fail column</t>
  </si>
  <si>
    <t>if formula= IF(K2&gt;90%,"A", IF(K2&gt;70%, "B",IF(K2&gt;50%,"C",IF(K2&gt;=35%,"D","F"))))</t>
  </si>
  <si>
    <t>on Grade column</t>
  </si>
  <si>
    <t>Multiple if== Nested if</t>
  </si>
  <si>
    <t>Name</t>
  </si>
  <si>
    <t>Firstname</t>
  </si>
  <si>
    <t>Genre</t>
  </si>
  <si>
    <t>Income</t>
  </si>
  <si>
    <t>Situation</t>
  </si>
  <si>
    <t>Children</t>
  </si>
  <si>
    <t>Resultant1</t>
  </si>
  <si>
    <t>Resultant2</t>
  </si>
  <si>
    <t>Resultant3</t>
  </si>
  <si>
    <t>Resultant4</t>
  </si>
  <si>
    <t>Resultant5</t>
  </si>
  <si>
    <t>Resultant6</t>
  </si>
  <si>
    <t>JANJUAH</t>
  </si>
  <si>
    <t>Bob</t>
  </si>
  <si>
    <t>M</t>
  </si>
  <si>
    <t>Relationship</t>
  </si>
  <si>
    <t>SARA</t>
  </si>
  <si>
    <t>Sumit</t>
  </si>
  <si>
    <t>Married</t>
  </si>
  <si>
    <t>CHAMPNEY</t>
  </si>
  <si>
    <t>Robert</t>
  </si>
  <si>
    <t>JONAS</t>
  </si>
  <si>
    <t>Lee</t>
  </si>
  <si>
    <t>SAMEN</t>
  </si>
  <si>
    <t>Michael</t>
  </si>
  <si>
    <t>Single</t>
  </si>
  <si>
    <t>SATAKE</t>
  </si>
  <si>
    <t>Kaori</t>
  </si>
  <si>
    <t>LEON</t>
  </si>
  <si>
    <t>Fernando</t>
  </si>
  <si>
    <t>BYERLY</t>
  </si>
  <si>
    <t>Kimberly</t>
  </si>
  <si>
    <t>F</t>
  </si>
  <si>
    <t>WARNER</t>
  </si>
  <si>
    <t>Norris</t>
  </si>
  <si>
    <t>Divorced</t>
  </si>
  <si>
    <t>GAUDEFROY</t>
  </si>
  <si>
    <t>Marie-Claire</t>
  </si>
  <si>
    <t>CHAPMan</t>
  </si>
  <si>
    <t>Mathew</t>
  </si>
  <si>
    <t>SIMPSON</t>
  </si>
  <si>
    <t>Aubrey</t>
  </si>
  <si>
    <t>FORDYCE</t>
  </si>
  <si>
    <t>David</t>
  </si>
  <si>
    <t>TORTELLI</t>
  </si>
  <si>
    <t>Olavo</t>
  </si>
  <si>
    <t>ADCOCK</t>
  </si>
  <si>
    <t>CONTAT</t>
  </si>
  <si>
    <t>Thibault</t>
  </si>
  <si>
    <t>ZIZZARI</t>
  </si>
  <si>
    <t>Stephen</t>
  </si>
  <si>
    <t>FREYERMUTH</t>
  </si>
  <si>
    <t>Jean-Luc</t>
  </si>
  <si>
    <t>JONES</t>
  </si>
  <si>
    <t>How many clients are married with one child</t>
  </si>
  <si>
    <t>=IF(OR([@Situation]="Married",[@Children]=1),"YES","Not Satisfied")</t>
  </si>
  <si>
    <t>How many clients are single or divorced</t>
  </si>
  <si>
    <t>=IF(OR([@Situation]="Single",[@Situation]="Divorced"),"YES","Not Satisfied")</t>
  </si>
  <si>
    <t>How many clients are married with an income above 75,000</t>
  </si>
  <si>
    <t>=IF(AND([@Situation]="Married",[@Income]&gt;=75000),"YES","Not Satisfied")</t>
  </si>
  <si>
    <t>How many clients are male, unmarried and without children</t>
  </si>
  <si>
    <t>=IF(AND(OR([@Situation]="Single",[@Situation]="Relationship"),[@Genre]="M", [@Children]=0),"YES", "NOT SATISFIED")</t>
  </si>
  <si>
    <t>How many clients are women with 1 or 2 children.</t>
  </si>
  <si>
    <t>=IF(AND(OR([Children]=1, [Children]=2),[@Genre]="f"),"YES","NOT SATISFIED")</t>
  </si>
  <si>
    <t>How many clients are married or in relationship, with an income greater than or equal to 50,000 and have at least two children.</t>
  </si>
  <si>
    <t>=IF(AND(OR([@Situation]="Married",[@Situation]="Realtionship"),[@Income]&gt;=50000,[@Children]&gt;=2),"YES","NOT SATESFIED")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</si>
</sst>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&quot;£&quot;* #,##0.00_-;\-&quot;£&quot;* #,##0.00_-;_-&quot;£&quot;* &quot;-&quot;??_-;_-@_-"/>
    <numFmt numFmtId="181" formatCode="_-[$£-809]* #,##0.00_-;\-[$£-809]* #,##0.00_-;_-[$£-809]* &quot;-&quot;??_-;_-@_-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rgb="FF2C2B2B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7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3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1" fillId="0" borderId="0"/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50"/>
    <xf numFmtId="0" fontId="2" fillId="0" borderId="0" xfId="50" applyFont="1"/>
    <xf numFmtId="0" fontId="3" fillId="0" borderId="0" xfId="50" applyFont="1"/>
    <xf numFmtId="0" fontId="4" fillId="0" borderId="0" xfId="50" applyFont="1"/>
    <xf numFmtId="0" fontId="0" fillId="0" borderId="0" xfId="51"/>
    <xf numFmtId="0" fontId="0" fillId="3" borderId="1" xfId="51" applyFill="1" applyBorder="1"/>
    <xf numFmtId="0" fontId="0" fillId="3" borderId="2" xfId="51" applyFill="1" applyBorder="1"/>
    <xf numFmtId="0" fontId="0" fillId="3" borderId="3" xfId="51" applyFill="1" applyBorder="1"/>
    <xf numFmtId="0" fontId="0" fillId="3" borderId="4" xfId="51" applyFill="1" applyBorder="1"/>
    <xf numFmtId="0" fontId="5" fillId="4" borderId="0" xfId="51" applyFont="1" applyFill="1"/>
    <xf numFmtId="0" fontId="0" fillId="3" borderId="5" xfId="51" applyFill="1" applyBorder="1"/>
    <xf numFmtId="0" fontId="0" fillId="3" borderId="0" xfId="51" applyFill="1"/>
    <xf numFmtId="0" fontId="6" fillId="5" borderId="6" xfId="51" applyFont="1" applyFill="1" applyBorder="1"/>
    <xf numFmtId="0" fontId="6" fillId="5" borderId="7" xfId="51" applyFont="1" applyFill="1" applyBorder="1" applyAlignment="1">
      <alignment horizontal="center"/>
    </xf>
    <xf numFmtId="0" fontId="6" fillId="5" borderId="8" xfId="51" applyFont="1" applyFill="1" applyBorder="1" applyAlignment="1">
      <alignment horizontal="center"/>
    </xf>
    <xf numFmtId="0" fontId="6" fillId="5" borderId="6" xfId="51" applyFont="1" applyFill="1" applyBorder="1" applyAlignment="1">
      <alignment horizontal="left"/>
    </xf>
    <xf numFmtId="0" fontId="6" fillId="5" borderId="8" xfId="51" applyFont="1" applyFill="1" applyBorder="1" applyAlignment="1">
      <alignment horizontal="left"/>
    </xf>
    <xf numFmtId="0" fontId="0" fillId="6" borderId="4" xfId="51" applyFill="1" applyBorder="1"/>
    <xf numFmtId="0" fontId="0" fillId="7" borderId="0" xfId="51" applyFill="1" applyAlignment="1">
      <alignment horizontal="center"/>
    </xf>
    <xf numFmtId="0" fontId="0" fillId="8" borderId="0" xfId="51" applyFill="1" applyAlignment="1">
      <alignment horizontal="center"/>
    </xf>
    <xf numFmtId="181" fontId="0" fillId="0" borderId="9" xfId="51" applyNumberFormat="1" applyBorder="1" applyAlignment="1">
      <alignment horizontal="center"/>
    </xf>
    <xf numFmtId="0" fontId="0" fillId="6" borderId="10" xfId="51" applyFill="1" applyBorder="1"/>
    <xf numFmtId="180" fontId="0" fillId="0" borderId="10" xfId="49" applyFont="1" applyBorder="1"/>
    <xf numFmtId="0" fontId="0" fillId="6" borderId="11" xfId="51" applyFill="1" applyBorder="1"/>
    <xf numFmtId="0" fontId="0" fillId="7" borderId="12" xfId="51" applyFill="1" applyBorder="1" applyAlignment="1">
      <alignment horizontal="center"/>
    </xf>
    <xf numFmtId="0" fontId="0" fillId="8" borderId="12" xfId="51" applyFill="1" applyBorder="1" applyAlignment="1">
      <alignment horizontal="center"/>
    </xf>
    <xf numFmtId="0" fontId="6" fillId="5" borderId="0" xfId="51" applyFont="1" applyFill="1"/>
    <xf numFmtId="180" fontId="0" fillId="7" borderId="0" xfId="49" applyFont="1" applyFill="1" applyBorder="1"/>
    <xf numFmtId="0" fontId="0" fillId="3" borderId="11" xfId="51" applyFill="1" applyBorder="1"/>
    <xf numFmtId="0" fontId="0" fillId="3" borderId="12" xfId="51" applyFill="1" applyBorder="1"/>
    <xf numFmtId="0" fontId="0" fillId="3" borderId="13" xfId="51" applyFill="1" applyBorder="1"/>
    <xf numFmtId="10" fontId="0" fillId="0" borderId="0" xfId="3" applyNumberFormat="1" applyFont="1"/>
    <xf numFmtId="0" fontId="0" fillId="9" borderId="0" xfId="0" applyFill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Normal 2" xfId="50"/>
    <cellStyle name="Normal 2 2" xfId="51"/>
  </cellStyles>
  <dxfs count="12"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20" totalsRowShown="0">
  <autoFilter xmlns:etc="http://www.wps.cn/officeDocument/2017/etCustomData" ref="A1:L20" etc:filterBottomFollowUsedRange="0"/>
  <tableColumns count="12">
    <tableColumn id="1" name="Name" dataDxfId="0"/>
    <tableColumn id="2" name="Firstname" dataDxfId="1"/>
    <tableColumn id="3" name="Genre" dataDxfId="2"/>
    <tableColumn id="4" name="Income" dataDxfId="3"/>
    <tableColumn id="5" name="Situation" dataDxfId="4"/>
    <tableColumn id="6" name="Children" dataDxfId="5"/>
    <tableColumn id="7" name="Resultant1" dataDxfId="6">
      <calculatedColumnFormula>IF(AND(Table1[[#This Row],[Situation]]="Married",Table1[[#This Row],[Children]]=1),"YES","Not Satisfied")</calculatedColumnFormula>
    </tableColumn>
    <tableColumn id="8" name="Resultant2" dataDxfId="7">
      <calculatedColumnFormula>IF(OR(Table1[[#This Row],[Situation]]="Single",Table1[[#This Row],[Situation]]="Divorced"),"YES","Not Satisfied")</calculatedColumnFormula>
    </tableColumn>
    <tableColumn id="9" name="Resultant3" dataDxfId="8">
      <calculatedColumnFormula>IF(AND(Table1[[#This Row],[Situation]]="Married",Table1[[#This Row],[Income]]&gt;=75000),"YES","Not Satisfied")</calculatedColumnFormula>
    </tableColumn>
    <tableColumn id="10" name="Resultant4" dataDxfId="9">
      <calculatedColumnFormula>IF(AND(OR(Table1[[#This Row],[Situation]]="Single",Table1[[#This Row],[Situation]]="Relationship"),Table1[[#This Row],[Genre]]="M",Table1[[#This Row],[Children]]=0),"YES","NOT SATISFIED")</calculatedColumnFormula>
    </tableColumn>
    <tableColumn id="11" name="Resultant5" dataDxfId="10">
      <calculatedColumnFormula array="1">IF(AND(OR(Table1[Children]=1,Table1[Children]=2),Table1[[#This Row],[Genre]]="f"),"YES","NOT SATISFIED")</calculatedColumnFormula>
    </tableColumn>
    <tableColumn id="12" name="Resultant6" dataDxfId="11">
      <calculatedColumnFormula>IF(AND(OR(Table1[[#This Row],[Situation]]="Married",Table1[[#This Row],[Situation]]="Realtionship"),Table1[[#This Row],[Income]]&gt;=50000,Table1[[#This Row],[Children]]&gt;=2),"YES","NOT SATESFIED")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123" zoomScaleNormal="123" workbookViewId="0">
      <selection activeCell="M3" sqref="M3"/>
    </sheetView>
  </sheetViews>
  <sheetFormatPr defaultColWidth="9" defaultRowHeight="14.4"/>
  <cols>
    <col min="1" max="1" width="13.8888888888889" customWidth="1"/>
    <col min="11" max="11" width="11.222222222222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>
      <c r="A2" t="s">
        <v>13</v>
      </c>
      <c r="B2">
        <v>65</v>
      </c>
      <c r="C2">
        <v>98</v>
      </c>
      <c r="D2">
        <v>74</v>
      </c>
      <c r="E2">
        <v>54</v>
      </c>
      <c r="F2">
        <v>62</v>
      </c>
      <c r="G2">
        <f t="shared" ref="G2:G10" si="0">SUM(B2:F2)</f>
        <v>353</v>
      </c>
      <c r="H2">
        <f>MAX(B2:F2)</f>
        <v>98</v>
      </c>
      <c r="I2">
        <f>MIN(B2:F2)</f>
        <v>54</v>
      </c>
      <c r="J2">
        <f>AVERAGE(B2:F2)</f>
        <v>70.6</v>
      </c>
      <c r="K2" s="33">
        <f>G2/500</f>
        <v>0.706</v>
      </c>
      <c r="L2" t="str">
        <f>IF(K2&lt;35%,"fail","Pass")</f>
        <v>Pass</v>
      </c>
      <c r="M2" t="str">
        <f>IF(K2&gt;=85%,"A",IF(K2&gt;=75%,"B",IF(K2&gt;=65%,"C",IF(K2&gt;=50%,"D","E"))))</f>
        <v>C</v>
      </c>
      <c r="P2" s="34" t="s">
        <v>14</v>
      </c>
      <c r="Q2" s="34" t="s">
        <v>15</v>
      </c>
    </row>
    <row r="3" spans="1:17">
      <c r="A3" t="s">
        <v>16</v>
      </c>
      <c r="B3">
        <v>45</v>
      </c>
      <c r="C3">
        <v>75</v>
      </c>
      <c r="D3">
        <v>64</v>
      </c>
      <c r="E3">
        <v>41</v>
      </c>
      <c r="F3">
        <v>51</v>
      </c>
      <c r="G3">
        <f t="shared" si="0"/>
        <v>276</v>
      </c>
      <c r="H3">
        <f t="shared" ref="H3:H10" si="1">MAX(B3:F3)</f>
        <v>75</v>
      </c>
      <c r="I3">
        <f t="shared" ref="I3:I10" si="2">MIN(B3:F3)</f>
        <v>41</v>
      </c>
      <c r="J3">
        <f t="shared" ref="J3:J10" si="3">AVERAGE(B3:F3)</f>
        <v>55.2</v>
      </c>
      <c r="K3" s="33">
        <f t="shared" ref="K3:K10" si="4">G3/500</f>
        <v>0.552</v>
      </c>
      <c r="L3" t="str">
        <f t="shared" ref="L3:L10" si="5">IF(K3&lt;35%,"fail","Pass")</f>
        <v>Pass</v>
      </c>
      <c r="M3" t="str">
        <f t="shared" ref="M3:M10" si="6">IF(K3&gt;=85%,"A",IF(K3&gt;=75%,"B",IF(K3&gt;=65%,"C",IF(K3&gt;=50%,"D","E"))))</f>
        <v>D</v>
      </c>
      <c r="P3" s="34" t="s">
        <v>17</v>
      </c>
      <c r="Q3" s="34" t="s">
        <v>18</v>
      </c>
    </row>
    <row r="4" spans="1:17">
      <c r="A4" t="s">
        <v>19</v>
      </c>
      <c r="B4">
        <v>51</v>
      </c>
      <c r="C4">
        <v>52</v>
      </c>
      <c r="D4">
        <v>45</v>
      </c>
      <c r="E4">
        <v>36</v>
      </c>
      <c r="F4">
        <v>30</v>
      </c>
      <c r="G4">
        <f t="shared" si="0"/>
        <v>214</v>
      </c>
      <c r="H4">
        <f t="shared" si="1"/>
        <v>52</v>
      </c>
      <c r="I4">
        <f t="shared" si="2"/>
        <v>30</v>
      </c>
      <c r="J4">
        <f t="shared" si="3"/>
        <v>42.8</v>
      </c>
      <c r="K4" s="33">
        <f t="shared" si="4"/>
        <v>0.428</v>
      </c>
      <c r="L4" t="str">
        <f t="shared" si="5"/>
        <v>Pass</v>
      </c>
      <c r="M4" t="str">
        <f t="shared" si="6"/>
        <v>E</v>
      </c>
      <c r="P4" s="34" t="s">
        <v>20</v>
      </c>
      <c r="Q4" s="34" t="s">
        <v>21</v>
      </c>
    </row>
    <row r="5" spans="1:17">
      <c r="A5" t="s">
        <v>22</v>
      </c>
      <c r="B5">
        <v>48</v>
      </c>
      <c r="C5">
        <v>46</v>
      </c>
      <c r="D5">
        <v>54</v>
      </c>
      <c r="E5">
        <v>50</v>
      </c>
      <c r="F5">
        <v>52</v>
      </c>
      <c r="G5">
        <f t="shared" si="0"/>
        <v>250</v>
      </c>
      <c r="H5">
        <f t="shared" si="1"/>
        <v>54</v>
      </c>
      <c r="I5">
        <f t="shared" si="2"/>
        <v>46</v>
      </c>
      <c r="J5">
        <f t="shared" si="3"/>
        <v>50</v>
      </c>
      <c r="K5" s="33">
        <f t="shared" si="4"/>
        <v>0.5</v>
      </c>
      <c r="L5" t="str">
        <f t="shared" si="5"/>
        <v>Pass</v>
      </c>
      <c r="M5" t="str">
        <f t="shared" si="6"/>
        <v>D</v>
      </c>
      <c r="P5" s="34" t="s">
        <v>23</v>
      </c>
      <c r="Q5" s="34" t="s">
        <v>24</v>
      </c>
    </row>
    <row r="6" spans="1:17">
      <c r="A6" t="s">
        <v>25</v>
      </c>
      <c r="B6">
        <v>63</v>
      </c>
      <c r="C6">
        <v>74</v>
      </c>
      <c r="D6">
        <v>75</v>
      </c>
      <c r="E6">
        <v>70</v>
      </c>
      <c r="F6">
        <v>60</v>
      </c>
      <c r="G6">
        <f t="shared" si="0"/>
        <v>342</v>
      </c>
      <c r="H6">
        <f t="shared" si="1"/>
        <v>75</v>
      </c>
      <c r="I6">
        <f t="shared" si="2"/>
        <v>60</v>
      </c>
      <c r="J6">
        <f t="shared" si="3"/>
        <v>68.4</v>
      </c>
      <c r="K6" s="33">
        <f t="shared" si="4"/>
        <v>0.684</v>
      </c>
      <c r="L6" t="str">
        <f t="shared" si="5"/>
        <v>Pass</v>
      </c>
      <c r="M6" t="str">
        <f t="shared" si="6"/>
        <v>C</v>
      </c>
      <c r="P6" s="34" t="s">
        <v>26</v>
      </c>
      <c r="Q6" s="34" t="s">
        <v>27</v>
      </c>
    </row>
    <row r="7" spans="1:17">
      <c r="A7" t="s">
        <v>28</v>
      </c>
      <c r="B7">
        <v>67</v>
      </c>
      <c r="C7">
        <v>48</v>
      </c>
      <c r="D7">
        <v>68</v>
      </c>
      <c r="E7">
        <v>62</v>
      </c>
      <c r="F7">
        <v>63</v>
      </c>
      <c r="G7">
        <f t="shared" si="0"/>
        <v>308</v>
      </c>
      <c r="H7">
        <f t="shared" si="1"/>
        <v>68</v>
      </c>
      <c r="I7">
        <f t="shared" si="2"/>
        <v>48</v>
      </c>
      <c r="J7">
        <f t="shared" si="3"/>
        <v>61.6</v>
      </c>
      <c r="K7" s="33">
        <f t="shared" si="4"/>
        <v>0.616</v>
      </c>
      <c r="L7" t="str">
        <f t="shared" si="5"/>
        <v>Pass</v>
      </c>
      <c r="M7" t="str">
        <f t="shared" si="6"/>
        <v>D</v>
      </c>
    </row>
    <row r="8" spans="1:17">
      <c r="A8" t="s">
        <v>29</v>
      </c>
      <c r="B8">
        <v>74</v>
      </c>
      <c r="C8">
        <v>80</v>
      </c>
      <c r="D8">
        <v>72</v>
      </c>
      <c r="E8">
        <v>98</v>
      </c>
      <c r="F8">
        <v>95</v>
      </c>
      <c r="G8">
        <f t="shared" si="0"/>
        <v>419</v>
      </c>
      <c r="H8">
        <f t="shared" si="1"/>
        <v>98</v>
      </c>
      <c r="I8">
        <f t="shared" si="2"/>
        <v>72</v>
      </c>
      <c r="J8">
        <f t="shared" si="3"/>
        <v>83.8</v>
      </c>
      <c r="K8" s="33">
        <f t="shared" si="4"/>
        <v>0.838</v>
      </c>
      <c r="L8" t="str">
        <f t="shared" si="5"/>
        <v>Pass</v>
      </c>
      <c r="M8" t="str">
        <f t="shared" si="6"/>
        <v>B</v>
      </c>
    </row>
    <row r="9" spans="1:17">
      <c r="A9" t="s">
        <v>30</v>
      </c>
      <c r="B9">
        <v>41</v>
      </c>
      <c r="C9">
        <v>75</v>
      </c>
      <c r="D9">
        <v>78</v>
      </c>
      <c r="E9">
        <v>70</v>
      </c>
      <c r="F9">
        <v>54</v>
      </c>
      <c r="G9">
        <f t="shared" si="0"/>
        <v>318</v>
      </c>
      <c r="H9">
        <f t="shared" si="1"/>
        <v>78</v>
      </c>
      <c r="I9">
        <f t="shared" si="2"/>
        <v>41</v>
      </c>
      <c r="J9">
        <f t="shared" si="3"/>
        <v>63.6</v>
      </c>
      <c r="K9" s="33">
        <f t="shared" si="4"/>
        <v>0.636</v>
      </c>
      <c r="L9" t="str">
        <f t="shared" si="5"/>
        <v>Pass</v>
      </c>
      <c r="M9" t="str">
        <f t="shared" si="6"/>
        <v>D</v>
      </c>
    </row>
    <row r="10" spans="1:17">
      <c r="A10" t="s">
        <v>31</v>
      </c>
      <c r="B10">
        <v>30</v>
      </c>
      <c r="C10">
        <v>35</v>
      </c>
      <c r="D10">
        <v>28</v>
      </c>
      <c r="E10">
        <v>20</v>
      </c>
      <c r="F10">
        <v>10</v>
      </c>
      <c r="G10">
        <f t="shared" si="0"/>
        <v>123</v>
      </c>
      <c r="H10">
        <f t="shared" si="1"/>
        <v>35</v>
      </c>
      <c r="I10">
        <f t="shared" si="2"/>
        <v>10</v>
      </c>
      <c r="J10">
        <f t="shared" si="3"/>
        <v>24.6</v>
      </c>
      <c r="K10" s="33">
        <f t="shared" si="4"/>
        <v>0.246</v>
      </c>
      <c r="L10" t="str">
        <f t="shared" si="5"/>
        <v>fail</v>
      </c>
      <c r="M10" t="str">
        <f t="shared" si="6"/>
        <v>E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9"/>
  <sheetViews>
    <sheetView zoomScale="109" zoomScaleNormal="109" topLeftCell="C1" workbookViewId="0">
      <selection activeCell="H6" sqref="H6"/>
    </sheetView>
  </sheetViews>
  <sheetFormatPr defaultColWidth="9.11111111111111" defaultRowHeight="14.4"/>
  <cols>
    <col min="1" max="2" width="2.88888888888889" style="6" customWidth="1"/>
    <col min="3" max="3" width="41" style="6" customWidth="1"/>
    <col min="4" max="4" width="9.11111111111111" style="6"/>
    <col min="5" max="5" width="13.5555555555556" style="6" customWidth="1"/>
    <col min="6" max="6" width="11" style="6" customWidth="1"/>
    <col min="7" max="7" width="9.11111111111111" style="6"/>
    <col min="8" max="9" width="10" style="6" customWidth="1"/>
    <col min="10" max="10" width="2.88888888888889" style="6" customWidth="1"/>
    <col min="11" max="16384" width="9.11111111111111" style="6"/>
  </cols>
  <sheetData>
    <row r="2" spans="2:10">
      <c r="B2" s="7"/>
      <c r="C2" s="8"/>
      <c r="D2" s="8"/>
      <c r="E2" s="8"/>
      <c r="F2" s="8"/>
      <c r="G2" s="8"/>
      <c r="H2" s="8"/>
      <c r="I2" s="8"/>
      <c r="J2" s="9"/>
    </row>
    <row r="3" spans="2:10">
      <c r="B3" s="10"/>
      <c r="C3" s="11" t="s">
        <v>32</v>
      </c>
      <c r="D3" s="11"/>
      <c r="E3" s="11"/>
      <c r="F3" s="11"/>
      <c r="G3" s="11"/>
      <c r="H3" s="11"/>
      <c r="I3" s="11"/>
      <c r="J3" s="12"/>
    </row>
    <row r="4" spans="2:10">
      <c r="B4" s="10"/>
      <c r="C4" s="13"/>
      <c r="D4" s="13"/>
      <c r="E4" s="13"/>
      <c r="F4" s="13"/>
      <c r="G4" s="13"/>
      <c r="H4" s="13"/>
      <c r="I4" s="13"/>
      <c r="J4" s="12"/>
    </row>
    <row r="5" spans="2:10">
      <c r="B5" s="10"/>
      <c r="C5" s="14" t="s">
        <v>33</v>
      </c>
      <c r="D5" s="15" t="s">
        <v>34</v>
      </c>
      <c r="E5" s="15" t="s">
        <v>35</v>
      </c>
      <c r="F5" s="16" t="s">
        <v>6</v>
      </c>
      <c r="G5" s="13"/>
      <c r="H5" s="17" t="s">
        <v>36</v>
      </c>
      <c r="I5" s="18"/>
      <c r="J5" s="12"/>
    </row>
    <row r="6" spans="2:10">
      <c r="B6" s="10"/>
      <c r="C6" s="19" t="s">
        <v>37</v>
      </c>
      <c r="D6" s="20">
        <v>4</v>
      </c>
      <c r="E6" s="21" t="s">
        <v>38</v>
      </c>
      <c r="F6" s="22">
        <f t="shared" ref="F6:F16" si="0">IF(E6=$H$6,Standard*D6,D6*Overtime)</f>
        <v>200</v>
      </c>
      <c r="G6" s="13"/>
      <c r="H6" s="23" t="s">
        <v>38</v>
      </c>
      <c r="I6" s="23" t="s">
        <v>39</v>
      </c>
      <c r="J6" s="12"/>
    </row>
    <row r="7" spans="2:10">
      <c r="B7" s="10"/>
      <c r="C7" s="19" t="s">
        <v>40</v>
      </c>
      <c r="D7" s="20">
        <v>0.5</v>
      </c>
      <c r="E7" s="21" t="s">
        <v>38</v>
      </c>
      <c r="F7" s="22">
        <f t="shared" si="0"/>
        <v>25</v>
      </c>
      <c r="G7" s="13"/>
      <c r="H7" s="24">
        <v>50</v>
      </c>
      <c r="I7" s="24">
        <v>75</v>
      </c>
      <c r="J7" s="12"/>
    </row>
    <row r="8" spans="2:10">
      <c r="B8" s="10"/>
      <c r="C8" s="19" t="s">
        <v>41</v>
      </c>
      <c r="D8" s="20">
        <v>3</v>
      </c>
      <c r="E8" s="21" t="s">
        <v>38</v>
      </c>
      <c r="F8" s="22">
        <f t="shared" si="0"/>
        <v>150</v>
      </c>
      <c r="G8" s="13"/>
      <c r="H8" s="13"/>
      <c r="I8" s="13"/>
      <c r="J8" s="12"/>
    </row>
    <row r="9" spans="2:10">
      <c r="B9" s="10"/>
      <c r="C9" s="19" t="s">
        <v>41</v>
      </c>
      <c r="D9" s="20">
        <v>1</v>
      </c>
      <c r="E9" s="21" t="s">
        <v>39</v>
      </c>
      <c r="F9" s="22">
        <f t="shared" si="0"/>
        <v>75</v>
      </c>
      <c r="G9" s="13"/>
      <c r="H9" s="13"/>
      <c r="I9" s="13"/>
      <c r="J9" s="12"/>
    </row>
    <row r="10" spans="2:10">
      <c r="B10" s="10"/>
      <c r="C10" s="19" t="s">
        <v>42</v>
      </c>
      <c r="D10" s="20">
        <v>7.5</v>
      </c>
      <c r="E10" s="21" t="s">
        <v>38</v>
      </c>
      <c r="F10" s="22">
        <f t="shared" si="0"/>
        <v>375</v>
      </c>
      <c r="G10" s="13"/>
      <c r="H10" s="13"/>
      <c r="I10" s="13"/>
      <c r="J10" s="12"/>
    </row>
    <row r="11" spans="2:10">
      <c r="B11" s="10"/>
      <c r="C11" s="19" t="s">
        <v>43</v>
      </c>
      <c r="D11" s="20">
        <v>0.5</v>
      </c>
      <c r="E11" s="21" t="s">
        <v>39</v>
      </c>
      <c r="F11" s="22">
        <f t="shared" si="0"/>
        <v>37.5</v>
      </c>
      <c r="G11" s="13"/>
      <c r="H11" s="13"/>
      <c r="I11" s="13"/>
      <c r="J11" s="12"/>
    </row>
    <row r="12" spans="2:10">
      <c r="B12" s="10"/>
      <c r="C12" s="19" t="s">
        <v>44</v>
      </c>
      <c r="D12" s="20">
        <v>2</v>
      </c>
      <c r="E12" s="21" t="s">
        <v>39</v>
      </c>
      <c r="F12" s="22">
        <f t="shared" si="0"/>
        <v>150</v>
      </c>
      <c r="G12" s="13"/>
      <c r="H12" s="13"/>
      <c r="I12" s="13"/>
      <c r="J12" s="12"/>
    </row>
    <row r="13" spans="2:10">
      <c r="B13" s="10"/>
      <c r="C13" s="19" t="s">
        <v>45</v>
      </c>
      <c r="D13" s="20">
        <v>3</v>
      </c>
      <c r="E13" s="21" t="s">
        <v>38</v>
      </c>
      <c r="F13" s="22">
        <f t="shared" si="0"/>
        <v>150</v>
      </c>
      <c r="G13" s="13"/>
      <c r="H13" s="13"/>
      <c r="I13" s="13"/>
      <c r="J13" s="12"/>
    </row>
    <row r="14" spans="2:10">
      <c r="B14" s="10"/>
      <c r="C14" s="19" t="s">
        <v>40</v>
      </c>
      <c r="D14" s="20">
        <v>0.5</v>
      </c>
      <c r="E14" s="21" t="s">
        <v>38</v>
      </c>
      <c r="F14" s="22">
        <f t="shared" si="0"/>
        <v>25</v>
      </c>
      <c r="G14" s="13"/>
      <c r="H14" s="13"/>
      <c r="I14" s="13"/>
      <c r="J14" s="12"/>
    </row>
    <row r="15" spans="2:10">
      <c r="B15" s="10"/>
      <c r="C15" s="19" t="s">
        <v>45</v>
      </c>
      <c r="D15" s="20">
        <v>3</v>
      </c>
      <c r="E15" s="21" t="s">
        <v>38</v>
      </c>
      <c r="F15" s="22">
        <f t="shared" si="0"/>
        <v>150</v>
      </c>
      <c r="G15" s="13"/>
      <c r="H15" s="13"/>
      <c r="I15" s="13"/>
      <c r="J15" s="12"/>
    </row>
    <row r="16" spans="2:10">
      <c r="B16" s="10"/>
      <c r="C16" s="25" t="s">
        <v>46</v>
      </c>
      <c r="D16" s="26">
        <v>2</v>
      </c>
      <c r="E16" s="27" t="s">
        <v>39</v>
      </c>
      <c r="F16" s="22">
        <f t="shared" si="0"/>
        <v>150</v>
      </c>
      <c r="G16" s="13"/>
      <c r="H16" s="13"/>
      <c r="I16" s="13"/>
      <c r="J16" s="12"/>
    </row>
    <row r="17" spans="2:10">
      <c r="B17" s="10"/>
      <c r="C17" s="13"/>
      <c r="D17" s="13"/>
      <c r="E17" s="13"/>
      <c r="F17" s="13"/>
      <c r="G17" s="13"/>
      <c r="H17" s="13"/>
      <c r="I17" s="13"/>
      <c r="J17" s="12"/>
    </row>
    <row r="18" spans="2:10">
      <c r="B18" s="10"/>
      <c r="C18" s="13"/>
      <c r="D18" s="13"/>
      <c r="E18" s="28" t="s">
        <v>47</v>
      </c>
      <c r="F18" s="29">
        <f>SUM(F6:F16)</f>
        <v>1487.5</v>
      </c>
      <c r="G18" s="13"/>
      <c r="H18" s="13"/>
      <c r="I18" s="13"/>
      <c r="J18" s="12"/>
    </row>
    <row r="19" spans="2:10">
      <c r="B19" s="30"/>
      <c r="C19" s="31"/>
      <c r="D19" s="31"/>
      <c r="E19" s="31"/>
      <c r="F19" s="31"/>
      <c r="G19" s="31"/>
      <c r="H19" s="31"/>
      <c r="I19" s="31"/>
      <c r="J19" s="32"/>
    </row>
  </sheetData>
  <mergeCells count="1">
    <mergeCell ref="H5:I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A20" sqref="A20"/>
    </sheetView>
  </sheetViews>
  <sheetFormatPr defaultColWidth="9" defaultRowHeight="14.4" outlineLevelRow="3" outlineLevelCol="2"/>
  <cols>
    <col min="1" max="1" width="73" customWidth="1"/>
    <col min="2" max="2" width="18.8888888888889" customWidth="1"/>
    <col min="3" max="3" width="21.1111111111111" customWidth="1"/>
  </cols>
  <sheetData>
    <row r="2" spans="1:3">
      <c r="A2" t="s">
        <v>48</v>
      </c>
      <c r="B2" t="s">
        <v>49</v>
      </c>
    </row>
    <row r="4" spans="1:3">
      <c r="A4" t="s">
        <v>50</v>
      </c>
      <c r="B4" t="s">
        <v>51</v>
      </c>
      <c r="C4" t="s">
        <v>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"/>
  <sheetViews>
    <sheetView topLeftCell="B4" workbookViewId="0">
      <selection activeCell="O17" sqref="O17"/>
    </sheetView>
  </sheetViews>
  <sheetFormatPr defaultColWidth="14.4444444444444" defaultRowHeight="15" customHeight="1"/>
  <cols>
    <col min="1" max="1" width="12.5555555555556" style="2" customWidth="1"/>
    <col min="2" max="2" width="12" style="2" customWidth="1"/>
    <col min="3" max="3" width="8.66666666666667" style="2" customWidth="1"/>
    <col min="4" max="4" width="9.66666666666667" style="2" customWidth="1"/>
    <col min="5" max="5" width="12.1111111111111" style="2" customWidth="1"/>
    <col min="6" max="6" width="10.6666666666667" style="2" customWidth="1"/>
    <col min="7" max="10" width="12.5555555555556" style="2" customWidth="1"/>
    <col min="11" max="16384" width="14.4444444444444" style="2"/>
  </cols>
  <sheetData>
    <row r="1" ht="14.25" customHeight="1" spans="1:12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</row>
    <row r="2" ht="14.25" customHeight="1" spans="1:12">
      <c r="A2" s="4" t="s">
        <v>65</v>
      </c>
      <c r="B2" s="4" t="s">
        <v>66</v>
      </c>
      <c r="C2" s="4" t="s">
        <v>67</v>
      </c>
      <c r="D2" s="4">
        <v>20000</v>
      </c>
      <c r="E2" s="4" t="s">
        <v>68</v>
      </c>
      <c r="F2" s="4">
        <v>0</v>
      </c>
      <c r="G2" s="2" t="str">
        <f>IF(OR(Table1[[#This Row],[Situation]]="Married",Table1[[#This Row],[Children]]=1),"YES","Not Satisfied")</f>
        <v>Not Satisfied</v>
      </c>
      <c r="H2" s="2" t="str">
        <f>IF(OR(Table1[[#This Row],[Situation]]="Single",Table1[[#This Row],[Situation]]="Divorced"),"YES","Not Satisfied")</f>
        <v>Not Satisfied</v>
      </c>
      <c r="I2" s="2" t="str">
        <f>IF(AND(Table1[[#This Row],[Situation]]="Married",Table1[[#This Row],[Income]]&gt;=75000),"YES","Not Satisfied")</f>
        <v>Not Satisfied</v>
      </c>
      <c r="J2" s="2" t="str">
        <f>IF(AND(OR(Table1[[#This Row],[Situation]]="Single",Table1[[#This Row],[Situation]]="Relationship"),Table1[[#This Row],[Genre]]="M",Table1[[#This Row],[Children]]=0),"YES","NOT SATISFIED")</f>
        <v>YES</v>
      </c>
      <c r="K2" s="2" t="str" cm="1">
        <f t="array" ref="K2">IF(AND(OR(Table1[Children]=1,Table1[Children]=2),Table1[[#This Row],[Genre]]="f"),"YES","NOT SATISFIED")</f>
        <v>NOT SATISFIED</v>
      </c>
      <c r="L2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3" ht="14.25" customHeight="1" spans="1:12">
      <c r="A3" s="4" t="s">
        <v>69</v>
      </c>
      <c r="B3" s="4" t="s">
        <v>70</v>
      </c>
      <c r="C3" s="4" t="s">
        <v>67</v>
      </c>
      <c r="D3" s="4">
        <v>80000</v>
      </c>
      <c r="E3" s="4" t="s">
        <v>71</v>
      </c>
      <c r="F3" s="4">
        <v>1</v>
      </c>
      <c r="G3" s="2" t="str">
        <f>IF(AND(Table1[[#This Row],[Situation]]="Married",Table1[[#This Row],[Children]]=1),"YES","Not Satisfied")</f>
        <v>YES</v>
      </c>
      <c r="H3" s="2" t="str">
        <f>IF(OR(Table1[[#This Row],[Situation]]="Single",Table1[[#This Row],[Situation]]="Divorced"),"YES","Not Satisfied")</f>
        <v>Not Satisfied</v>
      </c>
      <c r="I3" s="2" t="str">
        <f>IF(AND(Table1[[#This Row],[Situation]]="Married",Table1[[#This Row],[Income]]&gt;=75000),"YES","Not Satisfied")</f>
        <v>YES</v>
      </c>
      <c r="J3" s="2" t="str">
        <f>IF(AND(OR(Table1[[#This Row],[Situation]]="Single",Table1[[#This Row],[Situation]]="Relationship"),Table1[[#This Row],[Genre]]="M",Table1[[#This Row],[Children]]=0),"YES","NOT SATISFIED")</f>
        <v>NOT SATISFIED</v>
      </c>
      <c r="K3" s="2" t="str" cm="1">
        <f t="array" ref="K3">IF(AND(OR(Table1[Children]=1,Table1[Children]=2),Table1[[#This Row],[Genre]]="f"),"YES","NOT SATISFIED")</f>
        <v>NOT SATISFIED</v>
      </c>
      <c r="L3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4" ht="14.25" customHeight="1" spans="1:12">
      <c r="A4" s="4" t="s">
        <v>72</v>
      </c>
      <c r="B4" s="4" t="s">
        <v>73</v>
      </c>
      <c r="C4" s="4" t="s">
        <v>67</v>
      </c>
      <c r="D4" s="4">
        <v>67000</v>
      </c>
      <c r="E4" s="4" t="s">
        <v>71</v>
      </c>
      <c r="F4" s="4">
        <v>0</v>
      </c>
      <c r="G4" s="2" t="str">
        <f>IF(AND(Table1[[#This Row],[Situation]]="Married",Table1[[#This Row],[Children]]=1),"YES","Not Satisfied")</f>
        <v>Not Satisfied</v>
      </c>
      <c r="H4" s="2" t="str">
        <f>IF(OR(Table1[[#This Row],[Situation]]="Single",Table1[[#This Row],[Situation]]="Divorced"),"YES","Not Satisfied")</f>
        <v>Not Satisfied</v>
      </c>
      <c r="I4" s="2" t="str">
        <f>IF(AND(Table1[[#This Row],[Situation]]="Married",Table1[[#This Row],[Income]]&gt;=75000),"YES","Not Satisfied")</f>
        <v>Not Satisfied</v>
      </c>
      <c r="J4" s="2" t="str">
        <f>IF(AND(OR(Table1[[#This Row],[Situation]]="Single",Table1[[#This Row],[Situation]]="Relationship"),Table1[[#This Row],[Genre]]="M",Table1[[#This Row],[Children]]=0),"YES","NOT SATISFIED")</f>
        <v>NOT SATISFIED</v>
      </c>
      <c r="K4" s="2" t="str" cm="1">
        <f t="array" ref="K4">IF(AND(OR(Table1[Children]=1,Table1[Children]=2),Table1[[#This Row],[Genre]]="f"),"YES","NOT SATISFIED")</f>
        <v>NOT SATISFIED</v>
      </c>
      <c r="L4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5" ht="14.25" customHeight="1" spans="1:12">
      <c r="A5" s="4" t="s">
        <v>74</v>
      </c>
      <c r="B5" s="4" t="s">
        <v>75</v>
      </c>
      <c r="C5" s="4" t="s">
        <v>67</v>
      </c>
      <c r="D5" s="4">
        <v>35000</v>
      </c>
      <c r="E5" s="4" t="s">
        <v>68</v>
      </c>
      <c r="F5" s="4">
        <v>0</v>
      </c>
      <c r="G5" s="2" t="str">
        <f>IF(AND(Table1[[#This Row],[Situation]]="Married",Table1[[#This Row],[Children]]=1),"YES","Not Satisfied")</f>
        <v>Not Satisfied</v>
      </c>
      <c r="H5" s="2" t="str">
        <f>IF(OR(Table1[[#This Row],[Situation]]="Single",Table1[[#This Row],[Situation]]="Divorced"),"YES","Not Satisfied")</f>
        <v>Not Satisfied</v>
      </c>
      <c r="I5" s="2" t="str">
        <f>IF(AND(Table1[[#This Row],[Situation]]="Married",Table1[[#This Row],[Income]]&gt;=75000),"YES","Not Satisfied")</f>
        <v>Not Satisfied</v>
      </c>
      <c r="J5" s="2" t="str">
        <f>IF(AND(OR(Table1[[#This Row],[Situation]]="Single",Table1[[#This Row],[Situation]]="Relationship"),Table1[[#This Row],[Genre]]="M",Table1[[#This Row],[Children]]=0),"YES","NOT SATISFIED")</f>
        <v>YES</v>
      </c>
      <c r="K5" s="2" t="str" cm="1">
        <f t="array" ref="K5">IF(AND(OR(Table1[Children]=1,Table1[Children]=2),Table1[[#This Row],[Genre]]="f"),"YES","NOT SATISFIED")</f>
        <v>NOT SATISFIED</v>
      </c>
      <c r="L5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6" ht="14.25" customHeight="1" spans="1:12">
      <c r="A6" s="4" t="s">
        <v>76</v>
      </c>
      <c r="B6" s="4" t="s">
        <v>77</v>
      </c>
      <c r="C6" s="4" t="s">
        <v>67</v>
      </c>
      <c r="D6" s="4">
        <v>77000</v>
      </c>
      <c r="E6" s="4" t="s">
        <v>78</v>
      </c>
      <c r="F6" s="4">
        <v>0</v>
      </c>
      <c r="G6" s="2" t="str">
        <f>IF(AND(Table1[[#This Row],[Situation]]="Married",Table1[[#This Row],[Children]]=1),"YES","Not Satisfied")</f>
        <v>Not Satisfied</v>
      </c>
      <c r="H6" s="2" t="str">
        <f>IF(OR(Table1[[#This Row],[Situation]]="Single",Table1[[#This Row],[Situation]]="Divorced"),"YES","Not Satisfied")</f>
        <v>YES</v>
      </c>
      <c r="I6" s="2" t="str">
        <f>IF(AND(Table1[[#This Row],[Situation]]="Married",Table1[[#This Row],[Income]]&gt;=75000),"YES","Not Satisfied")</f>
        <v>Not Satisfied</v>
      </c>
      <c r="J6" s="2" t="str">
        <f>IF(AND(OR(Table1[[#This Row],[Situation]]="Single",Table1[[#This Row],[Situation]]="Relationship"),Table1[[#This Row],[Genre]]="M",Table1[[#This Row],[Children]]=0),"YES","NOT SATISFIED")</f>
        <v>YES</v>
      </c>
      <c r="K6" s="2" t="str" cm="1">
        <f t="array" ref="K6">IF(AND(OR(Table1[Children]=1,Table1[Children]=2),Table1[[#This Row],[Genre]]="f"),"YES","NOT SATISFIED")</f>
        <v>NOT SATISFIED</v>
      </c>
      <c r="L6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7" ht="14.25" customHeight="1" spans="1:12">
      <c r="A7" s="4" t="s">
        <v>79</v>
      </c>
      <c r="B7" s="4" t="s">
        <v>80</v>
      </c>
      <c r="C7" s="4" t="s">
        <v>67</v>
      </c>
      <c r="D7" s="4">
        <v>70000</v>
      </c>
      <c r="E7" s="4" t="s">
        <v>71</v>
      </c>
      <c r="F7" s="4">
        <v>3</v>
      </c>
      <c r="G7" s="2" t="str">
        <f>IF(AND(Table1[[#This Row],[Situation]]="Married",Table1[[#This Row],[Children]]=1),"YES","Not Satisfied")</f>
        <v>Not Satisfied</v>
      </c>
      <c r="H7" s="2" t="str">
        <f>IF(OR(Table1[[#This Row],[Situation]]="Single",Table1[[#This Row],[Situation]]="Divorced"),"YES","Not Satisfied")</f>
        <v>Not Satisfied</v>
      </c>
      <c r="I7" s="2" t="str">
        <f>IF(AND(Table1[[#This Row],[Situation]]="Married",Table1[[#This Row],[Income]]&gt;=75000),"YES","Not Satisfied")</f>
        <v>Not Satisfied</v>
      </c>
      <c r="J7" s="2" t="str">
        <f>IF(AND(OR(Table1[[#This Row],[Situation]]="Single",Table1[[#This Row],[Situation]]="Relationship"),Table1[[#This Row],[Genre]]="M",Table1[[#This Row],[Children]]=0),"YES","NOT SATISFIED")</f>
        <v>NOT SATISFIED</v>
      </c>
      <c r="K7" s="2" t="str" cm="1">
        <f t="array" ref="K7">IF(AND(OR(Table1[Children]=1,Table1[Children]=2),Table1[[#This Row],[Genre]]="f"),"YES","NOT SATISFIED")</f>
        <v>NOT SATISFIED</v>
      </c>
      <c r="L7" s="2" t="str">
        <f>IF(AND(OR(Table1[[#This Row],[Situation]]="Married",Table1[[#This Row],[Situation]]="Realtionship"),Table1[[#This Row],[Income]]&gt;=50000,Table1[[#This Row],[Children]]&gt;=2),"YES","NOT SATESFIED")</f>
        <v>YES</v>
      </c>
    </row>
    <row r="8" ht="14.25" customHeight="1" spans="1:12">
      <c r="A8" s="4" t="s">
        <v>81</v>
      </c>
      <c r="B8" s="4" t="s">
        <v>82</v>
      </c>
      <c r="C8" s="4" t="s">
        <v>67</v>
      </c>
      <c r="D8" s="4">
        <v>23000</v>
      </c>
      <c r="E8" s="4" t="s">
        <v>78</v>
      </c>
      <c r="F8" s="4">
        <v>3</v>
      </c>
      <c r="G8" s="2" t="str">
        <f>IF(AND(Table1[[#This Row],[Situation]]="Married",Table1[[#This Row],[Children]]=1),"YES","Not Satisfied")</f>
        <v>Not Satisfied</v>
      </c>
      <c r="H8" s="2" t="str">
        <f>IF(OR(Table1[[#This Row],[Situation]]="Single",Table1[[#This Row],[Situation]]="Divorced"),"YES","Not Satisfied")</f>
        <v>YES</v>
      </c>
      <c r="I8" s="2" t="str">
        <f>IF(AND(Table1[[#This Row],[Situation]]="Married",Table1[[#This Row],[Income]]&gt;=75000),"YES","Not Satisfied")</f>
        <v>Not Satisfied</v>
      </c>
      <c r="J8" s="2" t="str">
        <f>IF(AND(OR(Table1[[#This Row],[Situation]]="Single",Table1[[#This Row],[Situation]]="Relationship"),Table1[[#This Row],[Genre]]="M",Table1[[#This Row],[Children]]=0),"YES","NOT SATISFIED")</f>
        <v>NOT SATISFIED</v>
      </c>
      <c r="K8" s="2" t="str" cm="1">
        <f t="array" ref="K8">IF(AND(OR(Table1[Children]=1,Table1[Children]=2),Table1[[#This Row],[Genre]]="f"),"YES","NOT SATISFIED")</f>
        <v>NOT SATISFIED</v>
      </c>
      <c r="L8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9" ht="14.25" customHeight="1" spans="1:12">
      <c r="A9" s="4" t="s">
        <v>83</v>
      </c>
      <c r="B9" s="4" t="s">
        <v>84</v>
      </c>
      <c r="C9" s="4" t="s">
        <v>85</v>
      </c>
      <c r="D9" s="4">
        <v>97000</v>
      </c>
      <c r="E9" s="4" t="s">
        <v>68</v>
      </c>
      <c r="F9" s="4">
        <v>1</v>
      </c>
      <c r="G9" s="2" t="str">
        <f>IF(AND(Table1[[#This Row],[Situation]]="Married",Table1[[#This Row],[Children]]=1),"YES","Not Satisfied")</f>
        <v>Not Satisfied</v>
      </c>
      <c r="H9" s="2" t="str">
        <f>IF(OR(Table1[[#This Row],[Situation]]="Single",Table1[[#This Row],[Situation]]="Divorced"),"YES","Not Satisfied")</f>
        <v>Not Satisfied</v>
      </c>
      <c r="I9" s="2" t="str">
        <f>IF(AND(Table1[[#This Row],[Situation]]="Married",Table1[[#This Row],[Income]]&gt;=75000),"YES","Not Satisfied")</f>
        <v>Not Satisfied</v>
      </c>
      <c r="J9" s="2" t="str">
        <f>IF(AND(OR(Table1[[#This Row],[Situation]]="Single",Table1[[#This Row],[Situation]]="Relationship"),Table1[[#This Row],[Genre]]="M",Table1[[#This Row],[Children]]=0),"YES","NOT SATISFIED")</f>
        <v>NOT SATISFIED</v>
      </c>
      <c r="K9" s="2" t="str" cm="1">
        <f t="array" ref="K9">IF(AND(OR(Table1[Children]=1,Table1[Children]=2),Table1[[#This Row],[Genre]]="f"),"YES","NOT SATISFIED")</f>
        <v>YES</v>
      </c>
      <c r="L9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0" ht="14.25" customHeight="1" spans="1:12">
      <c r="A10" s="4" t="s">
        <v>86</v>
      </c>
      <c r="B10" s="4" t="s">
        <v>87</v>
      </c>
      <c r="C10" s="4" t="s">
        <v>67</v>
      </c>
      <c r="D10" s="4">
        <v>26000</v>
      </c>
      <c r="E10" s="4" t="s">
        <v>88</v>
      </c>
      <c r="F10" s="4">
        <v>3</v>
      </c>
      <c r="G10" s="2" t="str">
        <f>IF(AND(Table1[[#This Row],[Situation]]="Married",Table1[[#This Row],[Children]]=1),"YES","Not Satisfied")</f>
        <v>Not Satisfied</v>
      </c>
      <c r="H10" s="2" t="str">
        <f>IF(OR(Table1[[#This Row],[Situation]]="Single",Table1[[#This Row],[Situation]]="Divorced"),"YES","Not Satisfied")</f>
        <v>YES</v>
      </c>
      <c r="I10" s="2" t="str">
        <f>IF(AND(Table1[[#This Row],[Situation]]="Married",Table1[[#This Row],[Income]]&gt;=75000),"YES","Not Satisfied")</f>
        <v>Not Satisfied</v>
      </c>
      <c r="J10" s="2" t="str">
        <f>IF(AND(OR(Table1[[#This Row],[Situation]]="Single",Table1[[#This Row],[Situation]]="Relationship"),Table1[[#This Row],[Genre]]="M",Table1[[#This Row],[Children]]=0),"YES","NOT SATISFIED")</f>
        <v>NOT SATISFIED</v>
      </c>
      <c r="K10" s="2" t="str" cm="1">
        <f t="array" ref="K10">IF(AND(OR(Table1[Children]=1,Table1[Children]=2),Table1[[#This Row],[Genre]]="f"),"YES","NOT SATISFIED")</f>
        <v>NOT SATISFIED</v>
      </c>
      <c r="L10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1" ht="14.25" customHeight="1" spans="1:12">
      <c r="A11" s="4" t="s">
        <v>89</v>
      </c>
      <c r="B11" s="4" t="s">
        <v>90</v>
      </c>
      <c r="C11" s="4" t="s">
        <v>85</v>
      </c>
      <c r="D11" s="4">
        <v>89000</v>
      </c>
      <c r="E11" s="4" t="s">
        <v>68</v>
      </c>
      <c r="F11" s="4">
        <v>0</v>
      </c>
      <c r="G11" s="2" t="str">
        <f>IF(AND(Table1[[#This Row],[Situation]]="Married",Table1[[#This Row],[Children]]=1),"YES","Not Satisfied")</f>
        <v>Not Satisfied</v>
      </c>
      <c r="H11" s="2" t="str">
        <f>IF(OR(Table1[[#This Row],[Situation]]="Single",Table1[[#This Row],[Situation]]="Divorced"),"YES","Not Satisfied")</f>
        <v>Not Satisfied</v>
      </c>
      <c r="I11" s="2" t="str">
        <f>IF(AND(Table1[[#This Row],[Situation]]="Married",Table1[[#This Row],[Income]]&gt;=75000),"YES","Not Satisfied")</f>
        <v>Not Satisfied</v>
      </c>
      <c r="J11" s="2" t="str">
        <f>IF(AND(OR(Table1[[#This Row],[Situation]]="Single",Table1[[#This Row],[Situation]]="Relationship"),Table1[[#This Row],[Genre]]="M",Table1[[#This Row],[Children]]=0),"YES","NOT SATISFIED")</f>
        <v>NOT SATISFIED</v>
      </c>
      <c r="K11" s="2" t="str" cm="1">
        <f t="array" ref="K11">IF(AND(OR(Table1[Children]=1,Table1[Children]=2),Table1[[#This Row],[Genre]]="f"),"YES","NOT SATISFIED")</f>
        <v>YES</v>
      </c>
      <c r="L11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2" ht="14.25" customHeight="1" spans="1:12">
      <c r="A12" s="4" t="s">
        <v>91</v>
      </c>
      <c r="B12" s="4" t="s">
        <v>92</v>
      </c>
      <c r="C12" s="4" t="s">
        <v>85</v>
      </c>
      <c r="D12" s="4">
        <v>77000</v>
      </c>
      <c r="E12" s="4" t="s">
        <v>78</v>
      </c>
      <c r="F12" s="4">
        <v>2</v>
      </c>
      <c r="G12" s="2" t="str">
        <f>IF(AND(Table1[[#This Row],[Situation]]="Married",Table1[[#This Row],[Children]]=1),"YES","Not Satisfied")</f>
        <v>Not Satisfied</v>
      </c>
      <c r="H12" s="2" t="str">
        <f>IF(OR(Table1[[#This Row],[Situation]]="Single",Table1[[#This Row],[Situation]]="Divorced"),"YES","Not Satisfied")</f>
        <v>YES</v>
      </c>
      <c r="I12" s="2" t="str">
        <f>IF(AND(Table1[[#This Row],[Situation]]="Married",Table1[[#This Row],[Income]]&gt;=75000),"YES","Not Satisfied")</f>
        <v>Not Satisfied</v>
      </c>
      <c r="J12" s="2" t="str">
        <f>IF(AND(OR(Table1[[#This Row],[Situation]]="Single",Table1[[#This Row],[Situation]]="Relationship"),Table1[[#This Row],[Genre]]="M",Table1[[#This Row],[Children]]=0),"YES","NOT SATISFIED")</f>
        <v>NOT SATISFIED</v>
      </c>
      <c r="K12" s="2" t="str" cm="1">
        <f t="array" ref="K12">IF(AND(OR(Table1[Children]=1,Table1[Children]=2),Table1[[#This Row],[Genre]]="f"),"YES","NOT SATISFIED")</f>
        <v>YES</v>
      </c>
      <c r="L12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3" ht="14.25" customHeight="1" spans="1:12">
      <c r="A13" s="4" t="s">
        <v>93</v>
      </c>
      <c r="B13" s="4" t="s">
        <v>94</v>
      </c>
      <c r="C13" s="4" t="s">
        <v>67</v>
      </c>
      <c r="D13" s="4">
        <v>34000</v>
      </c>
      <c r="E13" s="4" t="s">
        <v>88</v>
      </c>
      <c r="F13" s="4">
        <v>0</v>
      </c>
      <c r="G13" s="2" t="str">
        <f>IF(AND(Table1[[#This Row],[Situation]]="Married",Table1[[#This Row],[Children]]=1),"YES","Not Satisfied")</f>
        <v>Not Satisfied</v>
      </c>
      <c r="H13" s="2" t="str">
        <f>IF(OR(Table1[[#This Row],[Situation]]="Single",Table1[[#This Row],[Situation]]="Divorced"),"YES","Not Satisfied")</f>
        <v>YES</v>
      </c>
      <c r="I13" s="2" t="str">
        <f>IF(AND(Table1[[#This Row],[Situation]]="Married",Table1[[#This Row],[Income]]&gt;=75000),"YES","Not Satisfied")</f>
        <v>Not Satisfied</v>
      </c>
      <c r="J13" s="2" t="str">
        <f>IF(AND(OR(Table1[[#This Row],[Situation]]="Single",Table1[[#This Row],[Situation]]="Relationship"),Table1[[#This Row],[Genre]]="M",Table1[[#This Row],[Children]]=0),"YES","NOT SATISFIED")</f>
        <v>NOT SATISFIED</v>
      </c>
      <c r="K13" s="2" t="str" cm="1">
        <f t="array" ref="K13">IF(AND(OR(Table1[Children]=1,Table1[Children]=2),Table1[[#This Row],[Genre]]="f"),"YES","NOT SATISFIED")</f>
        <v>NOT SATISFIED</v>
      </c>
      <c r="L13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4" ht="14.25" customHeight="1" spans="1:12">
      <c r="A14" s="4" t="s">
        <v>95</v>
      </c>
      <c r="B14" s="4" t="s">
        <v>96</v>
      </c>
      <c r="C14" s="4" t="s">
        <v>67</v>
      </c>
      <c r="D14" s="4">
        <v>61000</v>
      </c>
      <c r="E14" s="4" t="s">
        <v>68</v>
      </c>
      <c r="F14" s="4">
        <v>2</v>
      </c>
      <c r="G14" s="2" t="str">
        <f>IF(AND(Table1[[#This Row],[Situation]]="Married",Table1[[#This Row],[Children]]=1),"YES","Not Satisfied")</f>
        <v>Not Satisfied</v>
      </c>
      <c r="H14" s="2" t="str">
        <f>IF(OR(Table1[[#This Row],[Situation]]="Single",Table1[[#This Row],[Situation]]="Divorced"),"YES","Not Satisfied")</f>
        <v>Not Satisfied</v>
      </c>
      <c r="I14" s="2" t="str">
        <f>IF(AND(Table1[[#This Row],[Situation]]="Married",Table1[[#This Row],[Income]]&gt;=75000),"YES","Not Satisfied")</f>
        <v>Not Satisfied</v>
      </c>
      <c r="J14" s="2" t="str">
        <f>IF(AND(OR(Table1[[#This Row],[Situation]]="Single",Table1[[#This Row],[Situation]]="Relationship"),Table1[[#This Row],[Genre]]="M",Table1[[#This Row],[Children]]=0),"YES","NOT SATISFIED")</f>
        <v>NOT SATISFIED</v>
      </c>
      <c r="K14" s="2" t="str" cm="1">
        <f t="array" ref="K14">IF(AND(OR(Table1[Children]=1,Table1[Children]=2),Table1[[#This Row],[Genre]]="f"),"YES","NOT SATISFIED")</f>
        <v>NOT SATISFIED</v>
      </c>
      <c r="L14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5" ht="14.25" customHeight="1" spans="1:12">
      <c r="A15" s="4" t="s">
        <v>97</v>
      </c>
      <c r="B15" s="4" t="s">
        <v>98</v>
      </c>
      <c r="C15" s="4" t="s">
        <v>85</v>
      </c>
      <c r="D15" s="4">
        <v>27000</v>
      </c>
      <c r="E15" s="4" t="s">
        <v>78</v>
      </c>
      <c r="F15" s="4">
        <v>0</v>
      </c>
      <c r="G15" s="2" t="str">
        <f>IF(AND(Table1[[#This Row],[Situation]]="Married",Table1[[#This Row],[Children]]=1),"YES","Not Satisfied")</f>
        <v>Not Satisfied</v>
      </c>
      <c r="H15" s="2" t="str">
        <f>IF(OR(Table1[[#This Row],[Situation]]="Single",Table1[[#This Row],[Situation]]="Divorced"),"YES","Not Satisfied")</f>
        <v>YES</v>
      </c>
      <c r="I15" s="2" t="str">
        <f>IF(AND(Table1[[#This Row],[Situation]]="Married",Table1[[#This Row],[Income]]&gt;=75000),"YES","Not Satisfied")</f>
        <v>Not Satisfied</v>
      </c>
      <c r="J15" s="2" t="str">
        <f>IF(AND(OR(Table1[[#This Row],[Situation]]="Single",Table1[[#This Row],[Situation]]="Relationship"),Table1[[#This Row],[Genre]]="M",Table1[[#This Row],[Children]]=0),"YES","NOT SATISFIED")</f>
        <v>NOT SATISFIED</v>
      </c>
      <c r="K15" s="2" t="str" cm="1">
        <f t="array" ref="K15">IF(AND(OR(Table1[Children]=1,Table1[Children]=2),Table1[[#This Row],[Genre]]="f"),"YES","NOT SATISFIED")</f>
        <v>YES</v>
      </c>
      <c r="L15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6" ht="14.25" customHeight="1" spans="1:12">
      <c r="A16" s="4" t="s">
        <v>99</v>
      </c>
      <c r="B16" s="4" t="s">
        <v>96</v>
      </c>
      <c r="C16" s="4" t="s">
        <v>85</v>
      </c>
      <c r="D16" s="4">
        <v>72000</v>
      </c>
      <c r="E16" s="4" t="s">
        <v>88</v>
      </c>
      <c r="F16" s="4">
        <v>3</v>
      </c>
      <c r="G16" s="2" t="str">
        <f>IF(AND(Table1[[#This Row],[Situation]]="Married",Table1[[#This Row],[Children]]=1),"YES","Not Satisfied")</f>
        <v>Not Satisfied</v>
      </c>
      <c r="H16" s="2" t="str">
        <f>IF(OR(Table1[[#This Row],[Situation]]="Single",Table1[[#This Row],[Situation]]="Divorced"),"YES","Not Satisfied")</f>
        <v>YES</v>
      </c>
      <c r="I16" s="2" t="str">
        <f>IF(AND(Table1[[#This Row],[Situation]]="Married",Table1[[#This Row],[Income]]&gt;=75000),"YES","Not Satisfied")</f>
        <v>Not Satisfied</v>
      </c>
      <c r="J16" s="2" t="str">
        <f>IF(AND(OR(Table1[[#This Row],[Situation]]="Single",Table1[[#This Row],[Situation]]="Relationship"),Table1[[#This Row],[Genre]]="M",Table1[[#This Row],[Children]]=0),"YES","NOT SATISFIED")</f>
        <v>NOT SATISFIED</v>
      </c>
      <c r="K16" s="2" t="str" cm="1">
        <f t="array" ref="K16">IF(AND(OR(Table1[Children]=1,Table1[Children]=2),Table1[[#This Row],[Genre]]="f"),"YES","NOT SATISFIED")</f>
        <v>YES</v>
      </c>
      <c r="L16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7" ht="14.25" customHeight="1" spans="1:12">
      <c r="A17" s="4" t="s">
        <v>100</v>
      </c>
      <c r="B17" s="4" t="s">
        <v>101</v>
      </c>
      <c r="C17" s="4" t="s">
        <v>67</v>
      </c>
      <c r="D17" s="4">
        <v>85000</v>
      </c>
      <c r="E17" s="4" t="s">
        <v>68</v>
      </c>
      <c r="F17" s="4">
        <v>1</v>
      </c>
      <c r="G17" s="2" t="str">
        <f>IF(AND(Table1[[#This Row],[Situation]]="Married",Table1[[#This Row],[Children]]=1),"YES","Not Satisfied")</f>
        <v>Not Satisfied</v>
      </c>
      <c r="H17" s="2" t="str">
        <f>IF(OR(Table1[[#This Row],[Situation]]="Single",Table1[[#This Row],[Situation]]="Divorced"),"YES","Not Satisfied")</f>
        <v>Not Satisfied</v>
      </c>
      <c r="I17" s="2" t="str">
        <f>IF(AND(Table1[[#This Row],[Situation]]="Married",Table1[[#This Row],[Income]]&gt;=75000),"YES","Not Satisfied")</f>
        <v>Not Satisfied</v>
      </c>
      <c r="J17" s="2" t="str">
        <f>IF(AND(OR(Table1[[#This Row],[Situation]]="Single",Table1[[#This Row],[Situation]]="Relationship"),Table1[[#This Row],[Genre]]="M",Table1[[#This Row],[Children]]=0),"YES","NOT SATISFIED")</f>
        <v>NOT SATISFIED</v>
      </c>
      <c r="K17" s="2" t="str" cm="1">
        <f t="array" ref="K17">IF(AND(OR(Table1[Children]=1,Table1[Children]=2),Table1[[#This Row],[Genre]]="f"),"YES","NOT SATISFIED")</f>
        <v>NOT SATISFIED</v>
      </c>
      <c r="L17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8" ht="14.25" customHeight="1" spans="1:12">
      <c r="A18" s="4" t="s">
        <v>102</v>
      </c>
      <c r="B18" s="4" t="s">
        <v>103</v>
      </c>
      <c r="C18" s="4" t="s">
        <v>85</v>
      </c>
      <c r="D18" s="4">
        <v>84000</v>
      </c>
      <c r="E18" s="4" t="s">
        <v>78</v>
      </c>
      <c r="F18" s="4">
        <v>3</v>
      </c>
      <c r="G18" s="2" t="str">
        <f>IF(AND(Table1[[#This Row],[Situation]]="Married",Table1[[#This Row],[Children]]=1),"YES","Not Satisfied")</f>
        <v>Not Satisfied</v>
      </c>
      <c r="H18" s="2" t="str">
        <f>IF(OR(Table1[[#This Row],[Situation]]="Single",Table1[[#This Row],[Situation]]="Divorced"),"YES","Not Satisfied")</f>
        <v>YES</v>
      </c>
      <c r="I18" s="2" t="str">
        <f>IF(AND(Table1[[#This Row],[Situation]]="Married",Table1[[#This Row],[Income]]&gt;=75000),"YES","Not Satisfied")</f>
        <v>Not Satisfied</v>
      </c>
      <c r="J18" s="2" t="str">
        <f>IF(AND(OR(Table1[[#This Row],[Situation]]="Single",Table1[[#This Row],[Situation]]="Relationship"),Table1[[#This Row],[Genre]]="M",Table1[[#This Row],[Children]]=0),"YES","NOT SATISFIED")</f>
        <v>NOT SATISFIED</v>
      </c>
      <c r="K18" s="2" t="str" cm="1">
        <f t="array" ref="K18">IF(AND(OR(Table1[Children]=1,Table1[Children]=2),Table1[[#This Row],[Genre]]="f"),"YES","NOT SATISFIED")</f>
        <v>YES</v>
      </c>
      <c r="L18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19" ht="14.25" customHeight="1" spans="1:12">
      <c r="A19" s="4" t="s">
        <v>104</v>
      </c>
      <c r="B19" s="4" t="s">
        <v>105</v>
      </c>
      <c r="C19" s="4" t="s">
        <v>67</v>
      </c>
      <c r="D19" s="4">
        <v>50000</v>
      </c>
      <c r="E19" s="4" t="s">
        <v>78</v>
      </c>
      <c r="F19" s="4">
        <v>2</v>
      </c>
      <c r="G19" s="2" t="str">
        <f>IF(AND(Table1[[#This Row],[Situation]]="Married",Table1[[#This Row],[Children]]=1),"YES","Not Satisfied")</f>
        <v>Not Satisfied</v>
      </c>
      <c r="H19" s="2" t="str">
        <f>IF(OR(Table1[[#This Row],[Situation]]="Single",Table1[[#This Row],[Situation]]="Divorced"),"YES","Not Satisfied")</f>
        <v>YES</v>
      </c>
      <c r="I19" s="2" t="str">
        <f>IF(AND(Table1[[#This Row],[Situation]]="Married",Table1[[#This Row],[Income]]&gt;=75000),"YES","Not Satisfied")</f>
        <v>Not Satisfied</v>
      </c>
      <c r="J19" s="2" t="str">
        <f>IF(AND(OR(Table1[[#This Row],[Situation]]="Single",Table1[[#This Row],[Situation]]="Relationship"),Table1[[#This Row],[Genre]]="M",Table1[[#This Row],[Children]]=0),"YES","NOT SATISFIED")</f>
        <v>NOT SATISFIED</v>
      </c>
      <c r="K19" s="2" t="str" cm="1">
        <f t="array" ref="K19">IF(AND(OR(Table1[Children]=1,Table1[Children]=2),Table1[[#This Row],[Genre]]="f"),"YES","NOT SATISFIED")</f>
        <v>NOT SATISFIED</v>
      </c>
      <c r="L19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20" ht="14.25" customHeight="1" spans="1:12">
      <c r="A20" s="4" t="s">
        <v>106</v>
      </c>
      <c r="B20" s="4" t="s">
        <v>96</v>
      </c>
      <c r="C20" s="4" t="s">
        <v>67</v>
      </c>
      <c r="D20" s="4">
        <v>31000</v>
      </c>
      <c r="E20" s="4" t="s">
        <v>78</v>
      </c>
      <c r="F20" s="4">
        <v>0</v>
      </c>
      <c r="G20" s="2" t="str">
        <f>IF(AND(Table1[[#This Row],[Situation]]="Married",Table1[[#This Row],[Children]]=1),"YES","Not Satisfied")</f>
        <v>Not Satisfied</v>
      </c>
      <c r="H20" s="2" t="str">
        <f>IF(OR(Table1[[#This Row],[Situation]]="Single",Table1[[#This Row],[Situation]]="Divorced"),"YES","Not Satisfied")</f>
        <v>YES</v>
      </c>
      <c r="I20" s="2" t="str">
        <f>IF(AND(Table1[[#This Row],[Situation]]="Married",Table1[[#This Row],[Income]]&gt;=75000),"YES","Not Satisfied")</f>
        <v>Not Satisfied</v>
      </c>
      <c r="J20" s="2" t="str">
        <f>IF(AND(OR(Table1[[#This Row],[Situation]]="Single",Table1[[#This Row],[Situation]]="Relationship"),Table1[[#This Row],[Genre]]="M",Table1[[#This Row],[Children]]=0),"YES","NOT SATISFIED")</f>
        <v>YES</v>
      </c>
      <c r="K20" s="2" t="str" cm="1">
        <f t="array" ref="K20">IF(AND(OR(Table1[Children]=1,Table1[Children]=2),Table1[[#This Row],[Genre]]="f"),"YES","NOT SATISFIED")</f>
        <v>NOT SATISFIED</v>
      </c>
      <c r="L20" s="2" t="str">
        <f>IF(AND(OR(Table1[[#This Row],[Situation]]="Married",Table1[[#This Row],[Situation]]="Realtionship"),Table1[[#This Row],[Income]]&gt;=50000,Table1[[#This Row],[Children]]&gt;=2),"YES","NOT SATESFIED")</f>
        <v>NOT SATESFIED</v>
      </c>
    </row>
    <row r="21" ht="14.25" customHeight="1"/>
    <row r="22" ht="14.25" customHeight="1" spans="1:12">
      <c r="A22" s="5" t="s">
        <v>107</v>
      </c>
      <c r="K22" s="2" t="s">
        <v>108</v>
      </c>
    </row>
    <row r="23" ht="14.25" customHeight="1" spans="1:12">
      <c r="A23" s="5" t="s">
        <v>109</v>
      </c>
      <c r="K23" s="2" t="s">
        <v>110</v>
      </c>
    </row>
    <row r="24" ht="14.25" customHeight="1" spans="1:12">
      <c r="A24" s="5" t="s">
        <v>111</v>
      </c>
      <c r="K24" s="2" t="s">
        <v>112</v>
      </c>
    </row>
    <row r="25" ht="14.25" customHeight="1" spans="1:12">
      <c r="A25" s="5" t="s">
        <v>113</v>
      </c>
      <c r="K25" s="2" t="s">
        <v>114</v>
      </c>
    </row>
    <row r="26" ht="14.25" customHeight="1" spans="1:12">
      <c r="A26" s="5" t="s">
        <v>115</v>
      </c>
      <c r="K26" s="2" t="s">
        <v>116</v>
      </c>
    </row>
    <row r="27" ht="14.25" customHeight="1" spans="1:12">
      <c r="A27" s="5" t="s">
        <v>117</v>
      </c>
      <c r="K27" s="2" t="s">
        <v>118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L2" sqref="L2:L20"/>
    </sheetView>
  </sheetViews>
  <sheetFormatPr defaultColWidth="9" defaultRowHeight="14.4"/>
  <cols>
    <col min="7" max="10" width="11.8888888888889" customWidth="1"/>
    <col min="11" max="11" width="13.3333333333333" customWidth="1"/>
    <col min="12" max="12" width="13.7777777777778" customWidth="1"/>
  </cols>
  <sheetData>
    <row r="1" spans="1:1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</row>
    <row r="2" spans="1:12">
      <c r="A2" t="s">
        <v>65</v>
      </c>
      <c r="B2" t="s">
        <v>66</v>
      </c>
      <c r="C2" t="s">
        <v>67</v>
      </c>
      <c r="D2">
        <v>20000</v>
      </c>
      <c r="E2" t="s">
        <v>68</v>
      </c>
      <c r="F2">
        <v>0</v>
      </c>
      <c r="G2" t="str">
        <f>IF(AND(E2="Married",F2=1),"yes","Not Satisfied")</f>
        <v>Not Satisfied</v>
      </c>
      <c r="H2" t="str">
        <f>IF(OR(E2="Single",E2="Divorced"),"Yes","Not Satisfied")</f>
        <v>Not Satisfied</v>
      </c>
      <c r="I2" t="str">
        <f>IF(AND(D2&gt;75000,E2="Married"),"Yes","Not Satisfied")</f>
        <v>Not Satisfied</v>
      </c>
      <c r="J2" t="str">
        <f>IF(AND(C2="M",OR(E2="Single",E2="Relationship"),F2=0),"Yes","Not Satisfied")</f>
        <v>Yes</v>
      </c>
      <c r="K2" t="str">
        <f>IF(AND(C2="F",OR(F2=1,F2=2)),"Yes","Not Satiesfied")</f>
        <v>Not Satiesfied</v>
      </c>
      <c r="L2" t="str">
        <f>IF(AND(D2&gt;=50000,OR(E2="Married",E2="Relationship"),F2&gt;=2),"Yes","Not Satiesfied")</f>
        <v>Not Satiesfied</v>
      </c>
    </row>
    <row r="3" spans="1:12">
      <c r="A3" t="s">
        <v>69</v>
      </c>
      <c r="B3" t="s">
        <v>70</v>
      </c>
      <c r="C3" t="s">
        <v>67</v>
      </c>
      <c r="D3">
        <v>80000</v>
      </c>
      <c r="E3" t="s">
        <v>71</v>
      </c>
      <c r="F3">
        <v>1</v>
      </c>
      <c r="G3" t="str">
        <f t="shared" ref="G3:G20" si="0">IF(AND(E3="Married",F3=1),"yes","Not Satisfied")</f>
        <v>yes</v>
      </c>
      <c r="H3" t="str">
        <f t="shared" ref="H3:H20" si="1">IF(OR(E3="Single",E3="Divorced"),"Yes","Not Satisfied")</f>
        <v>Not Satisfied</v>
      </c>
      <c r="I3" t="str">
        <f t="shared" ref="I3:I20" si="2">IF(AND(D3&gt;75000,E3="Married"),"Yes","Not Satisfied")</f>
        <v>Yes</v>
      </c>
      <c r="J3" t="str">
        <f t="shared" ref="J3:J20" si="3">IF(AND(C3="M",OR(E3="Single",E3="Relationship"),F3=0),"Yes","Not Satisfied")</f>
        <v>Not Satisfied</v>
      </c>
      <c r="K3" t="str">
        <f t="shared" ref="K3:K20" si="4">IF(AND(C3="F",OR(F3=1,F3=2)),"Yes","Not Satiesfied")</f>
        <v>Not Satiesfied</v>
      </c>
      <c r="L3" t="str">
        <f t="shared" ref="L3:L20" si="5">IF(AND(D3&gt;=50000,OR(E3="Married",E3="Relationship"),F3&gt;=2),"Yes","Not Satiesfied")</f>
        <v>Not Satiesfied</v>
      </c>
    </row>
    <row r="4" spans="1:12">
      <c r="A4" t="s">
        <v>72</v>
      </c>
      <c r="B4" t="s">
        <v>73</v>
      </c>
      <c r="C4" t="s">
        <v>67</v>
      </c>
      <c r="D4">
        <v>67000</v>
      </c>
      <c r="E4" t="s">
        <v>71</v>
      </c>
      <c r="F4">
        <v>0</v>
      </c>
      <c r="G4" t="str">
        <f t="shared" si="0"/>
        <v>Not Satisfied</v>
      </c>
      <c r="H4" t="str">
        <f t="shared" si="1"/>
        <v>Not Satisfied</v>
      </c>
      <c r="I4" t="str">
        <f t="shared" si="2"/>
        <v>Not Satisfied</v>
      </c>
      <c r="J4" t="str">
        <f t="shared" si="3"/>
        <v>Not Satisfied</v>
      </c>
      <c r="K4" t="str">
        <f t="shared" si="4"/>
        <v>Not Satiesfied</v>
      </c>
      <c r="L4" t="str">
        <f t="shared" si="5"/>
        <v>Not Satiesfied</v>
      </c>
    </row>
    <row r="5" spans="1:12">
      <c r="A5" t="s">
        <v>74</v>
      </c>
      <c r="B5" t="s">
        <v>75</v>
      </c>
      <c r="C5" t="s">
        <v>67</v>
      </c>
      <c r="D5">
        <v>35000</v>
      </c>
      <c r="E5" t="s">
        <v>68</v>
      </c>
      <c r="F5">
        <v>0</v>
      </c>
      <c r="G5" t="str">
        <f t="shared" si="0"/>
        <v>Not Satisfied</v>
      </c>
      <c r="H5" t="str">
        <f t="shared" si="1"/>
        <v>Not Satisfied</v>
      </c>
      <c r="I5" t="str">
        <f t="shared" si="2"/>
        <v>Not Satisfied</v>
      </c>
      <c r="J5" t="str">
        <f t="shared" si="3"/>
        <v>Yes</v>
      </c>
      <c r="K5" t="str">
        <f t="shared" si="4"/>
        <v>Not Satiesfied</v>
      </c>
      <c r="L5" t="str">
        <f t="shared" si="5"/>
        <v>Not Satiesfied</v>
      </c>
    </row>
    <row r="6" spans="1:12">
      <c r="A6" t="s">
        <v>76</v>
      </c>
      <c r="B6" t="s">
        <v>77</v>
      </c>
      <c r="C6" t="s">
        <v>67</v>
      </c>
      <c r="D6">
        <v>77000</v>
      </c>
      <c r="E6" t="s">
        <v>78</v>
      </c>
      <c r="F6">
        <v>0</v>
      </c>
      <c r="G6" t="str">
        <f t="shared" si="0"/>
        <v>Not Satisfied</v>
      </c>
      <c r="H6" t="str">
        <f t="shared" si="1"/>
        <v>Yes</v>
      </c>
      <c r="I6" t="str">
        <f t="shared" si="2"/>
        <v>Not Satisfied</v>
      </c>
      <c r="J6" t="str">
        <f t="shared" si="3"/>
        <v>Yes</v>
      </c>
      <c r="K6" t="str">
        <f t="shared" si="4"/>
        <v>Not Satiesfied</v>
      </c>
      <c r="L6" t="str">
        <f t="shared" si="5"/>
        <v>Not Satiesfied</v>
      </c>
    </row>
    <row r="7" spans="1:12">
      <c r="A7" t="s">
        <v>79</v>
      </c>
      <c r="B7" t="s">
        <v>80</v>
      </c>
      <c r="C7" t="s">
        <v>67</v>
      </c>
      <c r="D7">
        <v>70000</v>
      </c>
      <c r="E7" t="s">
        <v>71</v>
      </c>
      <c r="F7">
        <v>3</v>
      </c>
      <c r="G7" t="str">
        <f t="shared" si="0"/>
        <v>Not Satisfied</v>
      </c>
      <c r="H7" t="str">
        <f t="shared" si="1"/>
        <v>Not Satisfied</v>
      </c>
      <c r="I7" t="str">
        <f t="shared" si="2"/>
        <v>Not Satisfied</v>
      </c>
      <c r="J7" t="str">
        <f t="shared" si="3"/>
        <v>Not Satisfied</v>
      </c>
      <c r="K7" t="str">
        <f t="shared" si="4"/>
        <v>Not Satiesfied</v>
      </c>
      <c r="L7" t="str">
        <f t="shared" si="5"/>
        <v>Yes</v>
      </c>
    </row>
    <row r="8" spans="1:12">
      <c r="A8" t="s">
        <v>81</v>
      </c>
      <c r="B8" t="s">
        <v>82</v>
      </c>
      <c r="C8" t="s">
        <v>67</v>
      </c>
      <c r="D8">
        <v>23000</v>
      </c>
      <c r="E8" t="s">
        <v>78</v>
      </c>
      <c r="F8">
        <v>3</v>
      </c>
      <c r="G8" t="str">
        <f t="shared" si="0"/>
        <v>Not Satisfied</v>
      </c>
      <c r="H8" t="str">
        <f t="shared" si="1"/>
        <v>Yes</v>
      </c>
      <c r="I8" t="str">
        <f t="shared" si="2"/>
        <v>Not Satisfied</v>
      </c>
      <c r="J8" t="str">
        <f t="shared" si="3"/>
        <v>Not Satisfied</v>
      </c>
      <c r="K8" t="str">
        <f t="shared" si="4"/>
        <v>Not Satiesfied</v>
      </c>
      <c r="L8" t="str">
        <f t="shared" si="5"/>
        <v>Not Satiesfied</v>
      </c>
    </row>
    <row r="9" spans="1:12">
      <c r="A9" t="s">
        <v>83</v>
      </c>
      <c r="B9" t="s">
        <v>84</v>
      </c>
      <c r="C9" t="s">
        <v>85</v>
      </c>
      <c r="D9">
        <v>97000</v>
      </c>
      <c r="E9" t="s">
        <v>68</v>
      </c>
      <c r="F9">
        <v>1</v>
      </c>
      <c r="G9" t="str">
        <f t="shared" si="0"/>
        <v>Not Satisfied</v>
      </c>
      <c r="H9" t="str">
        <f t="shared" si="1"/>
        <v>Not Satisfied</v>
      </c>
      <c r="I9" t="str">
        <f t="shared" si="2"/>
        <v>Not Satisfied</v>
      </c>
      <c r="J9" t="str">
        <f t="shared" si="3"/>
        <v>Not Satisfied</v>
      </c>
      <c r="K9" t="str">
        <f t="shared" si="4"/>
        <v>Yes</v>
      </c>
      <c r="L9" t="str">
        <f t="shared" si="5"/>
        <v>Not Satiesfied</v>
      </c>
    </row>
    <row r="10" spans="1:12">
      <c r="A10" t="s">
        <v>86</v>
      </c>
      <c r="B10" t="s">
        <v>87</v>
      </c>
      <c r="C10" t="s">
        <v>67</v>
      </c>
      <c r="D10">
        <v>26000</v>
      </c>
      <c r="E10" t="s">
        <v>88</v>
      </c>
      <c r="F10">
        <v>3</v>
      </c>
      <c r="G10" t="str">
        <f t="shared" si="0"/>
        <v>Not Satisfied</v>
      </c>
      <c r="H10" t="str">
        <f t="shared" si="1"/>
        <v>Yes</v>
      </c>
      <c r="I10" t="str">
        <f t="shared" si="2"/>
        <v>Not Satisfied</v>
      </c>
      <c r="J10" t="str">
        <f t="shared" si="3"/>
        <v>Not Satisfied</v>
      </c>
      <c r="K10" t="str">
        <f t="shared" si="4"/>
        <v>Not Satiesfied</v>
      </c>
      <c r="L10" t="str">
        <f t="shared" si="5"/>
        <v>Not Satiesfied</v>
      </c>
    </row>
    <row r="11" spans="1:12">
      <c r="A11" t="s">
        <v>89</v>
      </c>
      <c r="B11" t="s">
        <v>90</v>
      </c>
      <c r="C11" t="s">
        <v>85</v>
      </c>
      <c r="D11">
        <v>89000</v>
      </c>
      <c r="E11" t="s">
        <v>68</v>
      </c>
      <c r="F11">
        <v>0</v>
      </c>
      <c r="G11" t="str">
        <f t="shared" si="0"/>
        <v>Not Satisfied</v>
      </c>
      <c r="H11" t="str">
        <f t="shared" si="1"/>
        <v>Not Satisfied</v>
      </c>
      <c r="I11" t="str">
        <f t="shared" si="2"/>
        <v>Not Satisfied</v>
      </c>
      <c r="J11" t="str">
        <f t="shared" si="3"/>
        <v>Not Satisfied</v>
      </c>
      <c r="K11" t="str">
        <f t="shared" si="4"/>
        <v>Not Satiesfied</v>
      </c>
      <c r="L11" t="str">
        <f t="shared" si="5"/>
        <v>Not Satiesfied</v>
      </c>
    </row>
    <row r="12" spans="1:12">
      <c r="A12" t="s">
        <v>91</v>
      </c>
      <c r="B12" t="s">
        <v>92</v>
      </c>
      <c r="C12" t="s">
        <v>85</v>
      </c>
      <c r="D12">
        <v>77000</v>
      </c>
      <c r="E12" t="s">
        <v>78</v>
      </c>
      <c r="F12">
        <v>2</v>
      </c>
      <c r="G12" t="str">
        <f t="shared" si="0"/>
        <v>Not Satisfied</v>
      </c>
      <c r="H12" t="str">
        <f t="shared" si="1"/>
        <v>Yes</v>
      </c>
      <c r="I12" t="str">
        <f t="shared" si="2"/>
        <v>Not Satisfied</v>
      </c>
      <c r="J12" t="str">
        <f t="shared" si="3"/>
        <v>Not Satisfied</v>
      </c>
      <c r="K12" t="str">
        <f t="shared" si="4"/>
        <v>Yes</v>
      </c>
      <c r="L12" t="str">
        <f t="shared" si="5"/>
        <v>Not Satiesfied</v>
      </c>
    </row>
    <row r="13" spans="1:12">
      <c r="A13" t="s">
        <v>93</v>
      </c>
      <c r="B13" t="s">
        <v>94</v>
      </c>
      <c r="C13" t="s">
        <v>67</v>
      </c>
      <c r="D13">
        <v>34000</v>
      </c>
      <c r="E13" t="s">
        <v>88</v>
      </c>
      <c r="F13">
        <v>0</v>
      </c>
      <c r="G13" t="str">
        <f t="shared" si="0"/>
        <v>Not Satisfied</v>
      </c>
      <c r="H13" t="str">
        <f t="shared" si="1"/>
        <v>Yes</v>
      </c>
      <c r="I13" t="str">
        <f t="shared" si="2"/>
        <v>Not Satisfied</v>
      </c>
      <c r="J13" t="str">
        <f t="shared" si="3"/>
        <v>Not Satisfied</v>
      </c>
      <c r="K13" t="str">
        <f t="shared" si="4"/>
        <v>Not Satiesfied</v>
      </c>
      <c r="L13" t="str">
        <f t="shared" si="5"/>
        <v>Not Satiesfied</v>
      </c>
    </row>
    <row r="14" spans="1:12">
      <c r="A14" t="s">
        <v>95</v>
      </c>
      <c r="B14" t="s">
        <v>96</v>
      </c>
      <c r="C14" t="s">
        <v>67</v>
      </c>
      <c r="D14">
        <v>61000</v>
      </c>
      <c r="E14" t="s">
        <v>68</v>
      </c>
      <c r="F14">
        <v>2</v>
      </c>
      <c r="G14" t="str">
        <f t="shared" si="0"/>
        <v>Not Satisfied</v>
      </c>
      <c r="H14" t="str">
        <f t="shared" si="1"/>
        <v>Not Satisfied</v>
      </c>
      <c r="I14" t="str">
        <f t="shared" si="2"/>
        <v>Not Satisfied</v>
      </c>
      <c r="J14" t="str">
        <f t="shared" si="3"/>
        <v>Not Satisfied</v>
      </c>
      <c r="K14" t="str">
        <f t="shared" si="4"/>
        <v>Not Satiesfied</v>
      </c>
      <c r="L14" t="str">
        <f t="shared" si="5"/>
        <v>Yes</v>
      </c>
    </row>
    <row r="15" spans="1:12">
      <c r="A15" t="s">
        <v>97</v>
      </c>
      <c r="B15" t="s">
        <v>98</v>
      </c>
      <c r="C15" t="s">
        <v>85</v>
      </c>
      <c r="D15">
        <v>27000</v>
      </c>
      <c r="E15" t="s">
        <v>78</v>
      </c>
      <c r="F15">
        <v>0</v>
      </c>
      <c r="G15" t="str">
        <f t="shared" si="0"/>
        <v>Not Satisfied</v>
      </c>
      <c r="H15" t="str">
        <f t="shared" si="1"/>
        <v>Yes</v>
      </c>
      <c r="I15" t="str">
        <f t="shared" si="2"/>
        <v>Not Satisfied</v>
      </c>
      <c r="J15" t="str">
        <f t="shared" si="3"/>
        <v>Not Satisfied</v>
      </c>
      <c r="K15" t="str">
        <f t="shared" si="4"/>
        <v>Not Satiesfied</v>
      </c>
      <c r="L15" t="str">
        <f t="shared" si="5"/>
        <v>Not Satiesfied</v>
      </c>
    </row>
    <row r="16" spans="1:12">
      <c r="A16" t="s">
        <v>99</v>
      </c>
      <c r="B16" t="s">
        <v>96</v>
      </c>
      <c r="C16" t="s">
        <v>85</v>
      </c>
      <c r="D16">
        <v>72000</v>
      </c>
      <c r="E16" t="s">
        <v>88</v>
      </c>
      <c r="F16">
        <v>3</v>
      </c>
      <c r="G16" t="str">
        <f t="shared" si="0"/>
        <v>Not Satisfied</v>
      </c>
      <c r="H16" t="str">
        <f t="shared" si="1"/>
        <v>Yes</v>
      </c>
      <c r="I16" t="str">
        <f t="shared" si="2"/>
        <v>Not Satisfied</v>
      </c>
      <c r="J16" t="str">
        <f t="shared" si="3"/>
        <v>Not Satisfied</v>
      </c>
      <c r="K16" t="str">
        <f t="shared" si="4"/>
        <v>Not Satiesfied</v>
      </c>
      <c r="L16" t="str">
        <f t="shared" si="5"/>
        <v>Not Satiesfied</v>
      </c>
    </row>
    <row r="17" spans="1:12">
      <c r="A17" t="s">
        <v>100</v>
      </c>
      <c r="B17" t="s">
        <v>101</v>
      </c>
      <c r="C17" t="s">
        <v>67</v>
      </c>
      <c r="D17">
        <v>85000</v>
      </c>
      <c r="E17" t="s">
        <v>68</v>
      </c>
      <c r="F17">
        <v>1</v>
      </c>
      <c r="G17" t="str">
        <f t="shared" si="0"/>
        <v>Not Satisfied</v>
      </c>
      <c r="H17" t="str">
        <f t="shared" si="1"/>
        <v>Not Satisfied</v>
      </c>
      <c r="I17" t="str">
        <f t="shared" si="2"/>
        <v>Not Satisfied</v>
      </c>
      <c r="J17" t="str">
        <f t="shared" si="3"/>
        <v>Not Satisfied</v>
      </c>
      <c r="K17" t="str">
        <f t="shared" si="4"/>
        <v>Not Satiesfied</v>
      </c>
      <c r="L17" t="str">
        <f t="shared" si="5"/>
        <v>Not Satiesfied</v>
      </c>
    </row>
    <row r="18" spans="1:12">
      <c r="A18" t="s">
        <v>102</v>
      </c>
      <c r="B18" t="s">
        <v>103</v>
      </c>
      <c r="C18" t="s">
        <v>85</v>
      </c>
      <c r="D18">
        <v>84000</v>
      </c>
      <c r="E18" t="s">
        <v>78</v>
      </c>
      <c r="F18">
        <v>3</v>
      </c>
      <c r="G18" t="str">
        <f t="shared" si="0"/>
        <v>Not Satisfied</v>
      </c>
      <c r="H18" t="str">
        <f t="shared" si="1"/>
        <v>Yes</v>
      </c>
      <c r="I18" t="str">
        <f t="shared" si="2"/>
        <v>Not Satisfied</v>
      </c>
      <c r="J18" t="str">
        <f t="shared" si="3"/>
        <v>Not Satisfied</v>
      </c>
      <c r="K18" t="str">
        <f t="shared" si="4"/>
        <v>Not Satiesfied</v>
      </c>
      <c r="L18" t="str">
        <f t="shared" si="5"/>
        <v>Not Satiesfied</v>
      </c>
    </row>
    <row r="19" spans="1:12">
      <c r="A19" t="s">
        <v>104</v>
      </c>
      <c r="B19" t="s">
        <v>105</v>
      </c>
      <c r="C19" t="s">
        <v>67</v>
      </c>
      <c r="D19">
        <v>50000</v>
      </c>
      <c r="E19" t="s">
        <v>78</v>
      </c>
      <c r="F19">
        <v>2</v>
      </c>
      <c r="G19" t="str">
        <f t="shared" si="0"/>
        <v>Not Satisfied</v>
      </c>
      <c r="H19" t="str">
        <f t="shared" si="1"/>
        <v>Yes</v>
      </c>
      <c r="I19" t="str">
        <f t="shared" si="2"/>
        <v>Not Satisfied</v>
      </c>
      <c r="J19" t="str">
        <f t="shared" si="3"/>
        <v>Not Satisfied</v>
      </c>
      <c r="K19" t="str">
        <f t="shared" si="4"/>
        <v>Not Satiesfied</v>
      </c>
      <c r="L19" t="str">
        <f t="shared" si="5"/>
        <v>Not Satiesfied</v>
      </c>
    </row>
    <row r="20" spans="1:12">
      <c r="A20" t="s">
        <v>106</v>
      </c>
      <c r="B20" t="s">
        <v>96</v>
      </c>
      <c r="C20" t="s">
        <v>67</v>
      </c>
      <c r="D20">
        <v>31000</v>
      </c>
      <c r="E20" t="s">
        <v>78</v>
      </c>
      <c r="F20">
        <v>0</v>
      </c>
      <c r="G20" t="str">
        <f t="shared" si="0"/>
        <v>Not Satisfied</v>
      </c>
      <c r="H20" t="str">
        <f t="shared" si="1"/>
        <v>Yes</v>
      </c>
      <c r="I20" t="str">
        <f t="shared" si="2"/>
        <v>Not Satisfied</v>
      </c>
      <c r="J20" t="str">
        <f t="shared" si="3"/>
        <v>Yes</v>
      </c>
      <c r="K20" t="str">
        <f t="shared" si="4"/>
        <v>Not Satiesfied</v>
      </c>
      <c r="L20" t="str">
        <f t="shared" si="5"/>
        <v>Not Satiesfied</v>
      </c>
    </row>
    <row r="22" spans="1:12">
      <c r="A22" t="s">
        <v>107</v>
      </c>
    </row>
    <row r="23" spans="1:12">
      <c r="A23" t="s">
        <v>109</v>
      </c>
    </row>
    <row r="24" spans="1:12">
      <c r="A24" t="s">
        <v>111</v>
      </c>
    </row>
    <row r="25" spans="1:12">
      <c r="A25" t="s">
        <v>113</v>
      </c>
    </row>
    <row r="26" spans="1:12">
      <c r="A26" t="s">
        <v>115</v>
      </c>
    </row>
    <row r="27" spans="1:12">
      <c r="A27" t="s">
        <v>117</v>
      </c>
    </row>
  </sheetData>
  <autoFilter xmlns:etc="http://www.wps.cn/officeDocument/2017/etCustomData" ref="A1:L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EXC1</vt:lpstr>
      <vt:lpstr>EXC2</vt:lpstr>
      <vt:lpstr>Explanation</vt:lpstr>
      <vt:lpstr>Assignment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solanki</dc:creator>
  <cp:lastModifiedBy>Prajwal</cp:lastModifiedBy>
  <dcterms:created xsi:type="dcterms:W3CDTF">2023-12-14T08:35:00Z</dcterms:created>
  <dcterms:modified xsi:type="dcterms:W3CDTF">2026-04-14T11:27:15Z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585F524D4B624B4EA8D263D8163DC6D8_12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